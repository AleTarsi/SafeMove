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\\wsl.localhost\Ubuntu\home\ale\SafeMove\config\tests\"/>
    </mc:Choice>
  </mc:AlternateContent>
  <xr:revisionPtr revIDLastSave="0" documentId="13_ncr:1_{69CD1D54-CC66-4809-B7D0-3F9B7D158A3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ngles" sheetId="1" r:id="rId1"/>
    <sheet name="Scores" sheetId="2" r:id="rId2"/>
    <sheet name="Reba" sheetId="4" r:id="rId3"/>
    <sheet name="Extra" sheetId="7" r:id="rId4"/>
    <sheet name="Bas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" l="1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3" i="2"/>
  <c r="R3" i="4"/>
  <c r="T3" i="4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R4" i="2"/>
  <c r="T4" i="2"/>
  <c r="U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R5" i="2"/>
  <c r="T5" i="2"/>
  <c r="U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R6" i="2"/>
  <c r="T6" i="2"/>
  <c r="U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R7" i="2"/>
  <c r="T7" i="2"/>
  <c r="U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R8" i="2"/>
  <c r="T8" i="2"/>
  <c r="U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R9" i="2"/>
  <c r="T9" i="2"/>
  <c r="U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R10" i="2"/>
  <c r="T10" i="2"/>
  <c r="U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R11" i="2"/>
  <c r="T11" i="2"/>
  <c r="U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R12" i="2"/>
  <c r="T12" i="2"/>
  <c r="U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R13" i="2"/>
  <c r="T13" i="2"/>
  <c r="U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R14" i="2"/>
  <c r="T14" i="2"/>
  <c r="U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R15" i="2"/>
  <c r="T15" i="2"/>
  <c r="U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R16" i="2"/>
  <c r="T16" i="2"/>
  <c r="U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R17" i="2"/>
  <c r="T17" i="2"/>
  <c r="U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R18" i="2"/>
  <c r="T18" i="2"/>
  <c r="U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R19" i="2"/>
  <c r="T19" i="2"/>
  <c r="U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R20" i="2"/>
  <c r="T20" i="2"/>
  <c r="U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R21" i="2"/>
  <c r="T21" i="2"/>
  <c r="U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R22" i="2"/>
  <c r="T22" i="2"/>
  <c r="U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R23" i="2"/>
  <c r="T23" i="2"/>
  <c r="U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R24" i="2"/>
  <c r="T24" i="2"/>
  <c r="U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R25" i="2"/>
  <c r="T25" i="2"/>
  <c r="U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R26" i="2"/>
  <c r="T26" i="2"/>
  <c r="U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R27" i="2"/>
  <c r="T27" i="2"/>
  <c r="U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R28" i="2"/>
  <c r="T28" i="2"/>
  <c r="U28" i="2"/>
  <c r="O3" i="2" l="1"/>
  <c r="M29" i="2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3" i="4"/>
  <c r="A3" i="2"/>
  <c r="J3" i="2" s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M40" i="5"/>
  <c r="Z32" i="5"/>
  <c r="E34" i="5"/>
  <c r="M3" i="2" l="1"/>
  <c r="G9" i="4"/>
  <c r="H28" i="4"/>
  <c r="E4" i="4"/>
  <c r="K3" i="2"/>
  <c r="E3" i="4" s="1"/>
  <c r="G13" i="4"/>
  <c r="G12" i="4"/>
  <c r="G10" i="4"/>
  <c r="G5" i="4"/>
  <c r="H25" i="4"/>
  <c r="H3" i="2"/>
  <c r="G25" i="4"/>
  <c r="H8" i="4"/>
  <c r="H5" i="4"/>
  <c r="H23" i="4"/>
  <c r="G11" i="4"/>
  <c r="H19" i="4"/>
  <c r="B12" i="4"/>
  <c r="G18" i="4"/>
  <c r="G6" i="4"/>
  <c r="H6" i="4"/>
  <c r="H4" i="4"/>
  <c r="G24" i="4"/>
  <c r="H24" i="4"/>
  <c r="G23" i="4"/>
  <c r="F3" i="2"/>
  <c r="T3" i="2"/>
  <c r="B3" i="2"/>
  <c r="P3" i="2"/>
  <c r="I3" i="2"/>
  <c r="N3" i="2"/>
  <c r="H3" i="4" s="1"/>
  <c r="R3" i="2"/>
  <c r="E3" i="2"/>
  <c r="D3" i="2"/>
  <c r="U3" i="2"/>
  <c r="C3" i="2"/>
  <c r="G3" i="2"/>
  <c r="G26" i="4"/>
  <c r="H26" i="4"/>
  <c r="D6" i="4"/>
  <c r="G27" i="4"/>
  <c r="G21" i="4"/>
  <c r="H21" i="4"/>
  <c r="G7" i="4"/>
  <c r="H7" i="4"/>
  <c r="H27" i="4"/>
  <c r="G4" i="4"/>
  <c r="L3" i="2"/>
  <c r="G3" i="4" s="1"/>
  <c r="H22" i="4"/>
  <c r="G22" i="4"/>
  <c r="G20" i="4"/>
  <c r="G19" i="4"/>
  <c r="H20" i="4"/>
  <c r="G17" i="4"/>
  <c r="H17" i="4"/>
  <c r="G15" i="4"/>
  <c r="H15" i="4"/>
  <c r="G16" i="4"/>
  <c r="H16" i="4"/>
  <c r="G14" i="4"/>
  <c r="H14" i="4"/>
  <c r="E17" i="4"/>
  <c r="G28" i="4"/>
  <c r="G8" i="4"/>
  <c r="H18" i="4"/>
  <c r="H13" i="4"/>
  <c r="H12" i="4"/>
  <c r="H11" i="4"/>
  <c r="H10" i="4"/>
  <c r="H9" i="4"/>
  <c r="D12" i="4" l="1"/>
  <c r="C13" i="4"/>
  <c r="K28" i="4"/>
  <c r="E5" i="4"/>
  <c r="C18" i="4"/>
  <c r="D10" i="4"/>
  <c r="D9" i="4"/>
  <c r="E9" i="4"/>
  <c r="E6" i="4"/>
  <c r="F6" i="4" s="1"/>
  <c r="B6" i="4"/>
  <c r="E11" i="4"/>
  <c r="E16" i="4"/>
  <c r="E15" i="4"/>
  <c r="J11" i="4"/>
  <c r="B19" i="4"/>
  <c r="J25" i="4"/>
  <c r="I12" i="4"/>
  <c r="I13" i="4"/>
  <c r="B25" i="4"/>
  <c r="B8" i="4"/>
  <c r="K11" i="4"/>
  <c r="J14" i="4"/>
  <c r="J13" i="4"/>
  <c r="I9" i="4"/>
  <c r="D26" i="4"/>
  <c r="E13" i="4"/>
  <c r="J18" i="4"/>
  <c r="C10" i="4"/>
  <c r="E18" i="4"/>
  <c r="E12" i="4"/>
  <c r="D19" i="4"/>
  <c r="B21" i="4"/>
  <c r="B10" i="4"/>
  <c r="B18" i="4"/>
  <c r="I10" i="4"/>
  <c r="I28" i="4"/>
  <c r="K25" i="4"/>
  <c r="E23" i="4"/>
  <c r="B9" i="4"/>
  <c r="D13" i="4"/>
  <c r="D18" i="4"/>
  <c r="K16" i="4"/>
  <c r="J8" i="4"/>
  <c r="D25" i="4"/>
  <c r="B13" i="4"/>
  <c r="C9" i="4"/>
  <c r="J16" i="4"/>
  <c r="E26" i="4"/>
  <c r="K13" i="4"/>
  <c r="C5" i="4"/>
  <c r="C11" i="4"/>
  <c r="J12" i="4"/>
  <c r="K22" i="4"/>
  <c r="K17" i="4"/>
  <c r="K8" i="4"/>
  <c r="K10" i="4"/>
  <c r="K26" i="4"/>
  <c r="D5" i="4"/>
  <c r="K9" i="4"/>
  <c r="D8" i="4"/>
  <c r="C25" i="4"/>
  <c r="E28" i="4"/>
  <c r="D11" i="4"/>
  <c r="E25" i="4"/>
  <c r="B5" i="4"/>
  <c r="K14" i="4"/>
  <c r="E19" i="4"/>
  <c r="B3" i="4"/>
  <c r="K23" i="4"/>
  <c r="C8" i="4"/>
  <c r="B15" i="4"/>
  <c r="K6" i="4"/>
  <c r="J6" i="4"/>
  <c r="I23" i="4"/>
  <c r="I5" i="4"/>
  <c r="I11" i="4"/>
  <c r="I25" i="4"/>
  <c r="J9" i="4"/>
  <c r="J26" i="4"/>
  <c r="L26" i="4" s="1"/>
  <c r="C12" i="4"/>
  <c r="K7" i="4"/>
  <c r="D23" i="4"/>
  <c r="B24" i="4"/>
  <c r="C15" i="4"/>
  <c r="J10" i="4"/>
  <c r="B28" i="4"/>
  <c r="K24" i="4"/>
  <c r="K18" i="4"/>
  <c r="I8" i="4"/>
  <c r="J22" i="4"/>
  <c r="K20" i="4"/>
  <c r="C24" i="4"/>
  <c r="J28" i="4"/>
  <c r="K12" i="4"/>
  <c r="D14" i="4"/>
  <c r="J19" i="4"/>
  <c r="C19" i="4"/>
  <c r="J24" i="4"/>
  <c r="E10" i="4"/>
  <c r="E22" i="4"/>
  <c r="J5" i="4"/>
  <c r="C27" i="4"/>
  <c r="C14" i="4"/>
  <c r="C16" i="4"/>
  <c r="K4" i="4"/>
  <c r="B11" i="4"/>
  <c r="B17" i="4"/>
  <c r="B20" i="4"/>
  <c r="B16" i="4"/>
  <c r="B14" i="4"/>
  <c r="J20" i="4"/>
  <c r="I18" i="4"/>
  <c r="D28" i="4"/>
  <c r="K27" i="4"/>
  <c r="E14" i="4"/>
  <c r="B23" i="4"/>
  <c r="D4" i="4"/>
  <c r="F4" i="4" s="1"/>
  <c r="C4" i="4"/>
  <c r="B26" i="4"/>
  <c r="D21" i="4"/>
  <c r="B4" i="4"/>
  <c r="E7" i="4"/>
  <c r="K5" i="4"/>
  <c r="D15" i="4"/>
  <c r="D17" i="4"/>
  <c r="F17" i="4" s="1"/>
  <c r="I19" i="4"/>
  <c r="C28" i="4"/>
  <c r="E20" i="4"/>
  <c r="K19" i="4"/>
  <c r="E27" i="4"/>
  <c r="B7" i="4"/>
  <c r="J27" i="4"/>
  <c r="K15" i="4"/>
  <c r="I15" i="4"/>
  <c r="I20" i="4"/>
  <c r="I4" i="4"/>
  <c r="I16" i="4"/>
  <c r="I7" i="4"/>
  <c r="I6" i="4"/>
  <c r="I22" i="4"/>
  <c r="I21" i="4"/>
  <c r="I27" i="4"/>
  <c r="I17" i="4"/>
  <c r="I24" i="4"/>
  <c r="I14" i="4"/>
  <c r="I3" i="4"/>
  <c r="I26" i="4"/>
  <c r="B27" i="4"/>
  <c r="D7" i="4"/>
  <c r="J23" i="4"/>
  <c r="E24" i="4"/>
  <c r="B22" i="4"/>
  <c r="C20" i="4"/>
  <c r="E8" i="4"/>
  <c r="D22" i="4"/>
  <c r="C3" i="4"/>
  <c r="C17" i="4"/>
  <c r="D20" i="4"/>
  <c r="K21" i="4"/>
  <c r="C26" i="4"/>
  <c r="K3" i="4"/>
  <c r="C21" i="4"/>
  <c r="C23" i="4"/>
  <c r="J4" i="4"/>
  <c r="J17" i="4"/>
  <c r="J21" i="4"/>
  <c r="E21" i="4"/>
  <c r="D24" i="4"/>
  <c r="J7" i="4"/>
  <c r="D27" i="4"/>
  <c r="D16" i="4"/>
  <c r="J15" i="4"/>
  <c r="C22" i="4"/>
  <c r="C6" i="4"/>
  <c r="C7" i="4"/>
  <c r="F10" i="4" l="1"/>
  <c r="F5" i="4"/>
  <c r="L25" i="4"/>
  <c r="F12" i="4"/>
  <c r="L28" i="4"/>
  <c r="F9" i="4"/>
  <c r="L16" i="4"/>
  <c r="F25" i="4"/>
  <c r="F11" i="4"/>
  <c r="L11" i="4"/>
  <c r="F16" i="4"/>
  <c r="F15" i="4"/>
  <c r="F26" i="4"/>
  <c r="Q26" i="4" s="1"/>
  <c r="F19" i="4"/>
  <c r="L18" i="4"/>
  <c r="L13" i="4"/>
  <c r="F18" i="4"/>
  <c r="L14" i="4"/>
  <c r="F13" i="4"/>
  <c r="Q13" i="4" s="1"/>
  <c r="L8" i="4"/>
  <c r="L17" i="4"/>
  <c r="Q17" i="4" s="1"/>
  <c r="F23" i="4"/>
  <c r="L24" i="4"/>
  <c r="L23" i="4"/>
  <c r="L9" i="4"/>
  <c r="L12" i="4"/>
  <c r="L6" i="4"/>
  <c r="Q6" i="4" s="1"/>
  <c r="F28" i="4"/>
  <c r="L22" i="4"/>
  <c r="F22" i="4"/>
  <c r="F8" i="4"/>
  <c r="L5" i="4"/>
  <c r="L7" i="4"/>
  <c r="L10" i="4"/>
  <c r="L20" i="4"/>
  <c r="L19" i="4"/>
  <c r="F14" i="4"/>
  <c r="F21" i="4"/>
  <c r="L15" i="4"/>
  <c r="F27" i="4"/>
  <c r="L27" i="4"/>
  <c r="F7" i="4"/>
  <c r="F20" i="4"/>
  <c r="L4" i="4"/>
  <c r="Q4" i="4" s="1"/>
  <c r="F24" i="4"/>
  <c r="L21" i="4"/>
  <c r="J3" i="4"/>
  <c r="Q11" i="4" l="1"/>
  <c r="Q5" i="4"/>
  <c r="Q10" i="4"/>
  <c r="Q25" i="4"/>
  <c r="Q15" i="4"/>
  <c r="Q18" i="4"/>
  <c r="Q19" i="4"/>
  <c r="Q12" i="4"/>
  <c r="Q16" i="4"/>
  <c r="Q9" i="4"/>
  <c r="Q14" i="4"/>
  <c r="Q28" i="4"/>
  <c r="Q23" i="4"/>
  <c r="Q8" i="4"/>
  <c r="Q22" i="4"/>
  <c r="Q24" i="4"/>
  <c r="Q7" i="4"/>
  <c r="Q21" i="4"/>
  <c r="Q20" i="4"/>
  <c r="Q27" i="4"/>
  <c r="L3" i="4"/>
  <c r="D3" i="4"/>
  <c r="F3" i="4" s="1"/>
  <c r="Q3" i="4" l="1"/>
  <c r="F2" i="7" l="1"/>
  <c r="I2" i="7" s="1"/>
  <c r="K2" i="7" s="1"/>
  <c r="F40" i="5" s="1"/>
  <c r="S3" i="4"/>
  <c r="U3" i="4" s="1"/>
  <c r="V3" i="4" s="1"/>
  <c r="W3" i="4" s="1"/>
  <c r="M27" i="4"/>
  <c r="N3" i="4"/>
  <c r="M26" i="4"/>
  <c r="N12" i="4"/>
  <c r="M23" i="4"/>
  <c r="M14" i="4"/>
  <c r="M21" i="4"/>
  <c r="M4" i="4"/>
  <c r="M19" i="4"/>
  <c r="M22" i="4"/>
  <c r="M20" i="4"/>
  <c r="M11" i="4"/>
  <c r="N10" i="4"/>
  <c r="M10" i="4"/>
  <c r="N25" i="4"/>
  <c r="M24" i="4"/>
  <c r="N22" i="4"/>
  <c r="N4" i="4"/>
  <c r="M25" i="4"/>
  <c r="M18" i="4"/>
  <c r="N6" i="4"/>
  <c r="N15" i="4"/>
  <c r="M12" i="4"/>
  <c r="N23" i="4"/>
  <c r="M17" i="4"/>
  <c r="M5" i="4"/>
  <c r="N19" i="4"/>
  <c r="N27" i="4"/>
  <c r="N9" i="4"/>
  <c r="M9" i="4"/>
  <c r="N21" i="4"/>
  <c r="M6" i="4"/>
  <c r="M16" i="4"/>
  <c r="N26" i="4"/>
  <c r="N11" i="4"/>
  <c r="N20" i="4"/>
  <c r="N8" i="4"/>
  <c r="N5" i="4"/>
  <c r="N18" i="4"/>
  <c r="M8" i="4"/>
  <c r="M15" i="4"/>
  <c r="M13" i="4"/>
  <c r="N17" i="4"/>
  <c r="N7" i="4"/>
  <c r="M3" i="4"/>
  <c r="N13" i="4"/>
  <c r="M7" i="4"/>
  <c r="N14" i="4"/>
  <c r="N16" i="4"/>
  <c r="N24" i="4"/>
  <c r="N28" i="4"/>
  <c r="M28" i="4"/>
  <c r="O28" i="4" s="1"/>
  <c r="P28" i="4" s="1"/>
  <c r="Z28" i="5" l="1"/>
  <c r="Z38" i="5"/>
  <c r="O12" i="4"/>
  <c r="P12" i="4" s="1"/>
  <c r="O7" i="4"/>
  <c r="P7" i="4" s="1"/>
  <c r="O9" i="4"/>
  <c r="P9" i="4" s="1"/>
  <c r="O10" i="4"/>
  <c r="P10" i="4" s="1"/>
  <c r="O20" i="4"/>
  <c r="P20" i="4" s="1"/>
  <c r="O11" i="4"/>
  <c r="P11" i="4" s="1"/>
  <c r="O22" i="4"/>
  <c r="P22" i="4" s="1"/>
  <c r="O26" i="4"/>
  <c r="P26" i="4" s="1"/>
  <c r="O23" i="4"/>
  <c r="P23" i="4" s="1"/>
  <c r="O3" i="4"/>
  <c r="P3" i="4" s="1"/>
  <c r="O4" i="4"/>
  <c r="P4" i="4" s="1"/>
  <c r="O17" i="4"/>
  <c r="P17" i="4" s="1"/>
  <c r="O25" i="4"/>
  <c r="P25" i="4" s="1"/>
  <c r="O14" i="4"/>
  <c r="P14" i="4" s="1"/>
  <c r="O5" i="4"/>
  <c r="P5" i="4" s="1"/>
  <c r="O13" i="4"/>
  <c r="P13" i="4" s="1"/>
  <c r="O18" i="4"/>
  <c r="P18" i="4" s="1"/>
  <c r="O15" i="4"/>
  <c r="P15" i="4" s="1"/>
  <c r="O8" i="4"/>
  <c r="P8" i="4" s="1"/>
  <c r="O21" i="4"/>
  <c r="P21" i="4" s="1"/>
  <c r="O27" i="4"/>
  <c r="P27" i="4" s="1"/>
  <c r="O16" i="4"/>
  <c r="P16" i="4" s="1"/>
  <c r="O19" i="4"/>
  <c r="P19" i="4" s="1"/>
  <c r="O6" i="4"/>
  <c r="P6" i="4" s="1"/>
  <c r="O24" i="4"/>
  <c r="P24" i="4" s="1"/>
  <c r="A2" i="7" l="1"/>
  <c r="D2" i="7" s="1"/>
  <c r="O2" i="7" s="1"/>
  <c r="H46" i="5" s="1"/>
  <c r="E30" i="5" l="1"/>
  <c r="E39" i="5"/>
</calcChain>
</file>

<file path=xl/sharedStrings.xml><?xml version="1.0" encoding="utf-8"?>
<sst xmlns="http://schemas.openxmlformats.org/spreadsheetml/2006/main" count="190" uniqueCount="169">
  <si>
    <t>Tabella A</t>
  </si>
  <si>
    <t>Tabella B</t>
  </si>
  <si>
    <t>Tabella C</t>
  </si>
  <si>
    <t>A. Neck, Trunk and Leg Analysis</t>
  </si>
  <si>
    <t>SCORES</t>
  </si>
  <si>
    <t>B: Arms and Wrist Analysis</t>
  </si>
  <si>
    <t>Step 1: Locate Neck Position</t>
  </si>
  <si>
    <t>Table A</t>
  </si>
  <si>
    <t>Neck</t>
  </si>
  <si>
    <t>Step 7: Locate Upper Arm Position:</t>
  </si>
  <si>
    <t>Legs</t>
  </si>
  <si>
    <t>Trunk Posture Score</t>
  </si>
  <si>
    <t>Step 1a Adjust….</t>
  </si>
  <si>
    <t>Neck Score</t>
  </si>
  <si>
    <t>If neck is twisted: +1</t>
  </si>
  <si>
    <t>Step 7a: Adjust….</t>
  </si>
  <si>
    <t>If neck is side bending: +1</t>
  </si>
  <si>
    <t>If shoulder is raised: +1</t>
  </si>
  <si>
    <t>If Upper Arm is abducted: +1</t>
  </si>
  <si>
    <t>Upper Arm Score</t>
  </si>
  <si>
    <t>Step 2: Locate Trunk Position</t>
  </si>
  <si>
    <t>Table B</t>
  </si>
  <si>
    <t>Lower Arm</t>
  </si>
  <si>
    <t>If arm is supported or leaning: -1</t>
  </si>
  <si>
    <t>Wrist</t>
  </si>
  <si>
    <t>Step 8: Locate Lower Arm Position:</t>
  </si>
  <si>
    <t>Step 2a: Adjust….</t>
  </si>
  <si>
    <t>If trunk is twisted: +1</t>
  </si>
  <si>
    <t>Lower Arm Score</t>
  </si>
  <si>
    <t>If trunk is side bending: +1</t>
  </si>
  <si>
    <t>Trunk Score</t>
  </si>
  <si>
    <t>Step 3: Legs</t>
  </si>
  <si>
    <t>Step 9: Locate Wrist Position:</t>
  </si>
  <si>
    <t>Score A (score form table A +load/force score)</t>
  </si>
  <si>
    <t>Table C</t>
  </si>
  <si>
    <t>Score B, (table B value + coupling score)</t>
  </si>
  <si>
    <t>Wrist Score</t>
  </si>
  <si>
    <t>Leg Score</t>
  </si>
  <si>
    <t>Step 9a: Adjust……</t>
  </si>
  <si>
    <t>If wrist is bent from midline or twisted: Add +1</t>
  </si>
  <si>
    <t>Step 10: Look-up Posture Score in Table B:</t>
  </si>
  <si>
    <t>Step 4: Look-up Posture Score in Table A</t>
  </si>
  <si>
    <t>Using values from steps 7-9 above, locate score in Table B</t>
  </si>
  <si>
    <t>Posture Score B</t>
  </si>
  <si>
    <t>Using values from steps 1-3 above, locate score in</t>
  </si>
  <si>
    <t>Step 11: Add Coupling Score</t>
  </si>
  <si>
    <t>+</t>
  </si>
  <si>
    <t>Posture Score A</t>
  </si>
  <si>
    <r>
      <t xml:space="preserve">Well fitted handles and mid range power grip, </t>
    </r>
    <r>
      <rPr>
        <i/>
        <sz val="8"/>
        <rFont val="Arial"/>
        <family val="2"/>
      </rPr>
      <t>good: +0</t>
    </r>
  </si>
  <si>
    <t>Acceptable but not ideal hold or coupling</t>
  </si>
  <si>
    <t>Step 5: Add Force/Load Score</t>
  </si>
  <si>
    <r>
      <t xml:space="preserve">acceptable with another body part,                   </t>
    </r>
    <r>
      <rPr>
        <i/>
        <sz val="8"/>
        <rFont val="Arial"/>
        <family val="2"/>
      </rPr>
      <t xml:space="preserve"> fair: +1</t>
    </r>
  </si>
  <si>
    <t>Coupling Score</t>
  </si>
  <si>
    <t>If Load &lt; 5kgs: +0</t>
  </si>
  <si>
    <r>
      <t xml:space="preserve">Hand hold not acceptable but possible               </t>
    </r>
    <r>
      <rPr>
        <i/>
        <sz val="8"/>
        <rFont val="Arial"/>
        <family val="2"/>
      </rPr>
      <t>poor: +2</t>
    </r>
  </si>
  <si>
    <t>If Load is 5 to 10kgs +1</t>
  </si>
  <si>
    <t>Force/Load Score</t>
  </si>
  <si>
    <t>No handles, awkward, unsafe with any body part,</t>
  </si>
  <si>
    <t>=</t>
  </si>
  <si>
    <t>If load &gt;22lbs +2</t>
  </si>
  <si>
    <r>
      <t xml:space="preserve">                                                             </t>
    </r>
    <r>
      <rPr>
        <i/>
        <sz val="8"/>
        <rFont val="Arial"/>
        <family val="2"/>
      </rPr>
      <t>Unacceptable: +3</t>
    </r>
  </si>
  <si>
    <t>Adjust: If shock or rapid build up of force:add +1</t>
  </si>
  <si>
    <r>
      <t xml:space="preserve">Step 12: Score B, </t>
    </r>
    <r>
      <rPr>
        <sz val="8"/>
        <rFont val="Arial"/>
        <family val="2"/>
      </rPr>
      <t>Find column in Table C</t>
    </r>
  </si>
  <si>
    <t>Step 6: Score A, Find Row in Table C</t>
  </si>
  <si>
    <t>Add values from steps 10 &amp; 11 to obtain</t>
  </si>
  <si>
    <t>Add values from steps 4 &amp; 5 to obtain Score A.</t>
  </si>
  <si>
    <t xml:space="preserve">+ </t>
  </si>
  <si>
    <r>
      <t xml:space="preserve">Score B&gt; Find Column in </t>
    </r>
    <r>
      <rPr>
        <b/>
        <sz val="8"/>
        <rFont val="Arial"/>
        <family val="2"/>
      </rPr>
      <t>Table C</t>
    </r>
    <r>
      <rPr>
        <sz val="8"/>
        <rFont val="Arial"/>
        <family val="2"/>
      </rPr>
      <t xml:space="preserve"> and match with Score A in</t>
    </r>
  </si>
  <si>
    <t>Score B</t>
  </si>
  <si>
    <t>Find row in Table C.</t>
  </si>
  <si>
    <t>Score A</t>
  </si>
  <si>
    <t>row from step 6 to obtain Table C score.</t>
  </si>
  <si>
    <t>Table C Score</t>
  </si>
  <si>
    <t>Activity Score</t>
  </si>
  <si>
    <t>Step 13: Activity Score</t>
  </si>
  <si>
    <t>Scoring:</t>
  </si>
  <si>
    <t>+1 1 or more body parts are held longer than a minute (static)</t>
  </si>
  <si>
    <t xml:space="preserve">       1 = Negligible risk</t>
  </si>
  <si>
    <t>+1 Repeated small range actions (more than 4x per minute)</t>
  </si>
  <si>
    <t>2 or 3 = low risk, change may be needed</t>
  </si>
  <si>
    <t>+1 Action causes rapid large range change in postures or unstable base</t>
  </si>
  <si>
    <t>4 to 7 = medium risk, further investigation, change soon</t>
  </si>
  <si>
    <t>8 to 10 = high risk, investigate &amp; implement change</t>
  </si>
  <si>
    <t xml:space="preserve">    11+ = very high risk, implement change</t>
  </si>
  <si>
    <t>Final REBA Score</t>
  </si>
  <si>
    <t>REBA</t>
  </si>
  <si>
    <t>Trunk</t>
  </si>
  <si>
    <t>Upper Arm</t>
  </si>
  <si>
    <t>S</t>
  </si>
  <si>
    <t>c</t>
  </si>
  <si>
    <t>r</t>
  </si>
  <si>
    <t>e</t>
  </si>
  <si>
    <t>A</t>
  </si>
  <si>
    <t>Forza</t>
  </si>
  <si>
    <t>Impugnatura</t>
  </si>
  <si>
    <t>Ripetitività</t>
  </si>
  <si>
    <t>TOT B</t>
  </si>
  <si>
    <t>TOT A</t>
  </si>
  <si>
    <t>REBA SCORE</t>
  </si>
  <si>
    <t>/</t>
  </si>
  <si>
    <t>score.head.rotation.LR [°]</t>
  </si>
  <si>
    <t>score.head.flexion.DU [°]</t>
  </si>
  <si>
    <t>score.head.flexion.CCWCW [°]</t>
  </si>
  <si>
    <t>score.trunk.rotation.LR [°]</t>
  </si>
  <si>
    <t>score.trunk.flexion.FB [°]</t>
  </si>
  <si>
    <t>score.trunk.flexion.LR [°]</t>
  </si>
  <si>
    <t>score.R.shoulder.flexion.FB [°]</t>
  </si>
  <si>
    <t>score.R.shoulder.abduction.CWCCW [°]</t>
  </si>
  <si>
    <t>score.L.shoulder.flexion.FB [°]</t>
  </si>
  <si>
    <t>score.L.shoulder.abduction.CWCCW [°]</t>
  </si>
  <si>
    <t>score.R.elbow.flexion.UD [°]</t>
  </si>
  <si>
    <t>score.R.elbow.rotation.PS [°]</t>
  </si>
  <si>
    <t>score.L.elbow.flexion.UD [°]</t>
  </si>
  <si>
    <t>score.L.elbow.rotation.PS [°]</t>
  </si>
  <si>
    <t>score.R.wrist.flexion.UD [°]</t>
  </si>
  <si>
    <t>score.R.wrist.rotation.UR [°]</t>
  </si>
  <si>
    <t>score.L.wrist.flexion.UD [°]</t>
  </si>
  <si>
    <t>score.L.wrist.rotation.UR [°]</t>
  </si>
  <si>
    <t>score.R.knee.flexion.UD [°]</t>
  </si>
  <si>
    <t>score.L.knee.flexion.UD [°]</t>
  </si>
  <si>
    <t>score.contact points [#]</t>
  </si>
  <si>
    <t>score.R.ankle.flexion.UD [°]</t>
  </si>
  <si>
    <t>score.L.ankle.flexion.UD [°]</t>
  </si>
  <si>
    <t>head.rotation.LR [°]</t>
  </si>
  <si>
    <t>head.flexion.DU [°]</t>
  </si>
  <si>
    <t>head.flexion.CCWCW [°]</t>
  </si>
  <si>
    <t>trunk.rotation.LR [°]</t>
  </si>
  <si>
    <t>trunk.flexion.FB [°]</t>
  </si>
  <si>
    <t>trunk.flexion.LR [°]</t>
  </si>
  <si>
    <t>R.shoulder.flexion.FB [°]</t>
  </si>
  <si>
    <t>R.shoulder.abduction.CWCCW [°]</t>
  </si>
  <si>
    <t>L.shoulder.flexion.FB [°]</t>
  </si>
  <si>
    <t>L.shoulder.abduction.CWCCW [°]</t>
  </si>
  <si>
    <t>R.elbow.flexion.UD [°]</t>
  </si>
  <si>
    <t>R.elbow.rotation.PS [°]</t>
  </si>
  <si>
    <t>L.elbow.flexion.UD [°]</t>
  </si>
  <si>
    <t>L.elbow.rotation.PS [°]</t>
  </si>
  <si>
    <t>R.wrist.flexion.UD [°]</t>
  </si>
  <si>
    <t>R.wrist.rotation.UR [°]</t>
  </si>
  <si>
    <t>L.wrist.flexion.UD [°]</t>
  </si>
  <si>
    <t>L.wrist.rotation.UR [°]</t>
  </si>
  <si>
    <t>R.knee.flexion.UD [°]</t>
  </si>
  <si>
    <t>L.knee.flexion.UD [°]</t>
  </si>
  <si>
    <t>contact points [#]</t>
  </si>
  <si>
    <t>R.ankle.flexion.UD [°]</t>
  </si>
  <si>
    <t>L.ankle.flexion.UD [°]</t>
  </si>
  <si>
    <t>t [sec]</t>
  </si>
  <si>
    <t>score.neck</t>
  </si>
  <si>
    <t>score.trunk</t>
  </si>
  <si>
    <t>score.R.shoulder</t>
  </si>
  <si>
    <t>score.L.shoulder</t>
  </si>
  <si>
    <t>score.shoulder</t>
  </si>
  <si>
    <t>score.R.elbow</t>
  </si>
  <si>
    <t>score.L.elbow</t>
  </si>
  <si>
    <t>score.elbows</t>
  </si>
  <si>
    <t>score.R.wrist</t>
  </si>
  <si>
    <t>score.L.wrist</t>
  </si>
  <si>
    <t>score.wrists</t>
  </si>
  <si>
    <t>score.R.leg</t>
  </si>
  <si>
    <t>score.L.leg</t>
  </si>
  <si>
    <t>score.legs</t>
  </si>
  <si>
    <t>score.TableA</t>
  </si>
  <si>
    <t>score.TableB</t>
  </si>
  <si>
    <t>score.TableA.mean</t>
  </si>
  <si>
    <t>score.TableB.mean</t>
  </si>
  <si>
    <t>score.TableA.Tot</t>
  </si>
  <si>
    <t>score.TableB.Tot</t>
  </si>
  <si>
    <t>score.TableC</t>
  </si>
  <si>
    <t>score.REBA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</si>
</sst>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indexed="12"/>
      <name val="Arial"/>
      <family val="2"/>
    </font>
    <font>
      <b/>
      <u/>
      <sz val="12"/>
      <name val="Arial"/>
      <family val="2"/>
    </font>
    <font>
      <b/>
      <sz val="8"/>
      <name val="Arial"/>
      <family val="2"/>
    </font>
    <font>
      <sz val="10"/>
      <color indexed="12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sz val="10"/>
      <color indexed="12"/>
      <name val="Arial"/>
      <family val="2"/>
    </font>
    <font>
      <b/>
      <sz val="8"/>
      <color indexed="12"/>
      <name val="Arial"/>
      <family val="2"/>
    </font>
    <font>
      <sz val="16"/>
      <name val="Arial"/>
      <family val="2"/>
    </font>
    <font>
      <i/>
      <sz val="8"/>
      <name val="Arial"/>
      <family val="2"/>
    </font>
    <font>
      <sz val="18"/>
      <name val="Arial"/>
      <family val="2"/>
    </font>
    <font>
      <b/>
      <sz val="16"/>
      <color theme="1"/>
      <name val="Arial"/>
      <family val="2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5" fillId="3" borderId="4" xfId="0" applyFont="1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6" fillId="3" borderId="0" xfId="0" applyFont="1" applyFill="1"/>
    <xf numFmtId="0" fontId="7" fillId="3" borderId="5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5" fillId="3" borderId="0" xfId="0" applyFont="1" applyFill="1"/>
    <xf numFmtId="0" fontId="0" fillId="3" borderId="6" xfId="0" applyFill="1" applyBorder="1"/>
    <xf numFmtId="0" fontId="0" fillId="3" borderId="4" xfId="0" applyFill="1" applyBorder="1"/>
    <xf numFmtId="1" fontId="7" fillId="5" borderId="5" xfId="0" applyNumberFormat="1" applyFont="1" applyFill="1" applyBorder="1" applyAlignment="1">
      <alignment horizontal="center"/>
    </xf>
    <xf numFmtId="1" fontId="7" fillId="6" borderId="5" xfId="0" applyNumberFormat="1" applyFont="1" applyFill="1" applyBorder="1" applyAlignment="1">
      <alignment horizontal="center"/>
    </xf>
    <xf numFmtId="1" fontId="7" fillId="3" borderId="5" xfId="0" applyNumberFormat="1" applyFont="1" applyFill="1" applyBorder="1" applyAlignment="1">
      <alignment horizontal="center"/>
    </xf>
    <xf numFmtId="0" fontId="7" fillId="3" borderId="4" xfId="0" applyFont="1" applyFill="1" applyBorder="1" applyAlignment="1">
      <alignment horizontal="left"/>
    </xf>
    <xf numFmtId="0" fontId="7" fillId="3" borderId="0" xfId="0" applyFont="1" applyFill="1"/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5" fillId="3" borderId="4" xfId="0" applyFont="1" applyFill="1" applyBorder="1" applyAlignment="1">
      <alignment vertical="center"/>
    </xf>
    <xf numFmtId="0" fontId="7" fillId="8" borderId="5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11" borderId="5" xfId="0" applyFont="1" applyFill="1" applyBorder="1" applyAlignment="1">
      <alignment horizontal="center"/>
    </xf>
    <xf numFmtId="0" fontId="7" fillId="11" borderId="5" xfId="0" applyFont="1" applyFill="1" applyBorder="1"/>
    <xf numFmtId="0" fontId="7" fillId="10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left"/>
    </xf>
    <xf numFmtId="0" fontId="11" fillId="3" borderId="0" xfId="0" quotePrefix="1" applyFont="1" applyFill="1" applyAlignment="1">
      <alignment horizontal="center" vertical="center"/>
    </xf>
    <xf numFmtId="0" fontId="7" fillId="3" borderId="4" xfId="0" applyFont="1" applyFill="1" applyBorder="1"/>
    <xf numFmtId="0" fontId="7" fillId="3" borderId="0" xfId="0" applyFont="1" applyFill="1" applyAlignment="1">
      <alignment vertical="center"/>
    </xf>
    <xf numFmtId="0" fontId="0" fillId="3" borderId="0" xfId="0" applyFill="1" applyAlignment="1">
      <alignment horizontal="right"/>
    </xf>
    <xf numFmtId="0" fontId="15" fillId="3" borderId="0" xfId="0" applyFont="1" applyFill="1"/>
    <xf numFmtId="0" fontId="7" fillId="3" borderId="0" xfId="0" quotePrefix="1" applyFont="1" applyFill="1"/>
    <xf numFmtId="0" fontId="15" fillId="12" borderId="12" xfId="0" applyFont="1" applyFill="1" applyBorder="1"/>
    <xf numFmtId="0" fontId="15" fillId="12" borderId="13" xfId="0" applyFont="1" applyFill="1" applyBorder="1"/>
    <xf numFmtId="0" fontId="15" fillId="12" borderId="13" xfId="0" applyFont="1" applyFill="1" applyBorder="1" applyAlignment="1">
      <alignment horizontal="center"/>
    </xf>
    <xf numFmtId="0" fontId="15" fillId="12" borderId="14" xfId="0" applyFont="1" applyFill="1" applyBorder="1"/>
    <xf numFmtId="0" fontId="15" fillId="12" borderId="4" xfId="0" applyFont="1" applyFill="1" applyBorder="1"/>
    <xf numFmtId="0" fontId="15" fillId="12" borderId="0" xfId="0" applyFont="1" applyFill="1"/>
    <xf numFmtId="0" fontId="15" fillId="12" borderId="15" xfId="0" applyFont="1" applyFill="1" applyBorder="1"/>
    <xf numFmtId="0" fontId="15" fillId="13" borderId="4" xfId="0" applyFont="1" applyFill="1" applyBorder="1"/>
    <xf numFmtId="0" fontId="15" fillId="13" borderId="0" xfId="0" applyFont="1" applyFill="1"/>
    <xf numFmtId="0" fontId="15" fillId="13" borderId="15" xfId="0" applyFont="1" applyFill="1" applyBorder="1"/>
    <xf numFmtId="0" fontId="15" fillId="14" borderId="4" xfId="0" applyFont="1" applyFill="1" applyBorder="1"/>
    <xf numFmtId="0" fontId="15" fillId="14" borderId="0" xfId="0" applyFont="1" applyFill="1"/>
    <xf numFmtId="0" fontId="15" fillId="14" borderId="0" xfId="0" applyFont="1" applyFill="1" applyAlignment="1">
      <alignment horizontal="center"/>
    </xf>
    <xf numFmtId="0" fontId="15" fillId="14" borderId="15" xfId="0" applyFont="1" applyFill="1" applyBorder="1"/>
    <xf numFmtId="0" fontId="0" fillId="3" borderId="10" xfId="0" applyFill="1" applyBorder="1" applyAlignment="1">
      <alignment horizontal="center"/>
    </xf>
    <xf numFmtId="0" fontId="0" fillId="3" borderId="10" xfId="0" applyFill="1" applyBorder="1"/>
    <xf numFmtId="0" fontId="0" fillId="3" borderId="11" xfId="0" applyFill="1" applyBorder="1"/>
    <xf numFmtId="0" fontId="15" fillId="15" borderId="9" xfId="0" applyFont="1" applyFill="1" applyBorder="1"/>
    <xf numFmtId="0" fontId="15" fillId="15" borderId="10" xfId="0" applyFont="1" applyFill="1" applyBorder="1"/>
    <xf numFmtId="0" fontId="15" fillId="15" borderId="20" xfId="0" applyFont="1" applyFill="1" applyBorder="1"/>
    <xf numFmtId="0" fontId="7" fillId="3" borderId="5" xfId="0" applyFont="1" applyFill="1" applyBorder="1" applyAlignment="1">
      <alignment horizontal="center" vertical="center"/>
    </xf>
    <xf numFmtId="0" fontId="17" fillId="3" borderId="0" xfId="0" applyFont="1" applyFill="1"/>
    <xf numFmtId="0" fontId="17" fillId="0" borderId="0" xfId="0" applyFont="1"/>
    <xf numFmtId="0" fontId="17" fillId="5" borderId="16" xfId="0" applyFont="1" applyFill="1" applyBorder="1" applyAlignment="1">
      <alignment horizontal="center"/>
    </xf>
    <xf numFmtId="0" fontId="17" fillId="5" borderId="13" xfId="0" applyFont="1" applyFill="1" applyBorder="1" applyAlignment="1">
      <alignment horizontal="center"/>
    </xf>
    <xf numFmtId="0" fontId="17" fillId="5" borderId="14" xfId="0" applyFont="1" applyFill="1" applyBorder="1" applyAlignment="1">
      <alignment horizontal="center"/>
    </xf>
    <xf numFmtId="0" fontId="0" fillId="11" borderId="0" xfId="0" applyFill="1"/>
    <xf numFmtId="0" fontId="0" fillId="10" borderId="22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10" borderId="17" xfId="0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10" borderId="19" xfId="0" applyFill="1" applyBorder="1" applyAlignment="1">
      <alignment horizontal="center"/>
    </xf>
    <xf numFmtId="0" fontId="0" fillId="16" borderId="16" xfId="0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16" borderId="14" xfId="0" applyFill="1" applyBorder="1" applyAlignment="1">
      <alignment horizontal="center"/>
    </xf>
    <xf numFmtId="0" fontId="0" fillId="16" borderId="22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0" fillId="16" borderId="15" xfId="0" applyFill="1" applyBorder="1" applyAlignment="1">
      <alignment horizontal="center"/>
    </xf>
    <xf numFmtId="0" fontId="0" fillId="16" borderId="17" xfId="0" applyFill="1" applyBorder="1" applyAlignment="1">
      <alignment horizontal="center"/>
    </xf>
    <xf numFmtId="0" fontId="0" fillId="16" borderId="18" xfId="0" applyFill="1" applyBorder="1" applyAlignment="1">
      <alignment horizontal="center"/>
    </xf>
    <xf numFmtId="0" fontId="0" fillId="16" borderId="19" xfId="0" applyFill="1" applyBorder="1" applyAlignment="1">
      <alignment horizontal="center"/>
    </xf>
    <xf numFmtId="0" fontId="0" fillId="10" borderId="23" xfId="0" applyFill="1" applyBorder="1" applyAlignment="1">
      <alignment horizontal="center"/>
    </xf>
    <xf numFmtId="0" fontId="0" fillId="10" borderId="24" xfId="0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0" fontId="0" fillId="11" borderId="26" xfId="0" applyFill="1" applyBorder="1"/>
    <xf numFmtId="0" fontId="0" fillId="16" borderId="27" xfId="0" applyFill="1" applyBorder="1" applyAlignment="1">
      <alignment horizontal="center"/>
    </xf>
    <xf numFmtId="0" fontId="0" fillId="16" borderId="28" xfId="0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0" fillId="16" borderId="20" xfId="0" applyFill="1" applyBorder="1" applyAlignment="1">
      <alignment horizontal="center"/>
    </xf>
    <xf numFmtId="0" fontId="0" fillId="11" borderId="29" xfId="0" applyFill="1" applyBorder="1"/>
    <xf numFmtId="0" fontId="0" fillId="16" borderId="30" xfId="0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31" xfId="0" applyFill="1" applyBorder="1" applyAlignment="1">
      <alignment horizontal="center"/>
    </xf>
    <xf numFmtId="0" fontId="0" fillId="16" borderId="32" xfId="0" applyFill="1" applyBorder="1" applyAlignment="1">
      <alignment horizontal="center"/>
    </xf>
    <xf numFmtId="0" fontId="0" fillId="11" borderId="33" xfId="0" applyFill="1" applyBorder="1"/>
    <xf numFmtId="0" fontId="0" fillId="16" borderId="34" xfId="0" applyFill="1" applyBorder="1" applyAlignment="1">
      <alignment horizontal="center"/>
    </xf>
    <xf numFmtId="0" fontId="0" fillId="16" borderId="35" xfId="0" applyFill="1" applyBorder="1" applyAlignment="1">
      <alignment horizontal="center"/>
    </xf>
    <xf numFmtId="0" fontId="0" fillId="16" borderId="36" xfId="0" applyFill="1" applyBorder="1" applyAlignment="1">
      <alignment horizontal="center"/>
    </xf>
    <xf numFmtId="0" fontId="0" fillId="16" borderId="37" xfId="0" applyFill="1" applyBorder="1" applyAlignment="1">
      <alignment horizontal="center"/>
    </xf>
    <xf numFmtId="0" fontId="0" fillId="17" borderId="0" xfId="0" applyFill="1" applyAlignment="1">
      <alignment horizontal="center" vertical="center" wrapText="1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/>
    </xf>
    <xf numFmtId="0" fontId="0" fillId="18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" xfId="0" applyBorder="1"/>
    <xf numFmtId="1" fontId="8" fillId="13" borderId="5" xfId="0" applyNumberFormat="1" applyFont="1" applyFill="1" applyBorder="1" applyAlignment="1">
      <alignment horizontal="center"/>
    </xf>
    <xf numFmtId="0" fontId="1" fillId="19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1" borderId="38" xfId="0" applyFill="1" applyBorder="1" applyAlignment="1">
      <alignment horizontal="center" vertical="center"/>
    </xf>
    <xf numFmtId="0" fontId="0" fillId="20" borderId="38" xfId="0" applyFill="1" applyBorder="1" applyAlignment="1">
      <alignment horizontal="center" vertical="center"/>
    </xf>
    <xf numFmtId="0" fontId="0" fillId="22" borderId="38" xfId="0" applyFill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3" borderId="5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7" fillId="3" borderId="5" xfId="0" applyFont="1" applyFill="1" applyBorder="1" applyAlignment="1">
      <alignment horizontal="center"/>
    </xf>
    <xf numFmtId="1" fontId="7" fillId="5" borderId="5" xfId="0" applyNumberFormat="1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1" fontId="8" fillId="4" borderId="7" xfId="0" applyNumberFormat="1" applyFont="1" applyFill="1" applyBorder="1" applyAlignment="1">
      <alignment horizontal="center" vertical="center"/>
    </xf>
    <xf numFmtId="1" fontId="8" fillId="4" borderId="8" xfId="0" applyNumberFormat="1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 wrapText="1"/>
    </xf>
    <xf numFmtId="1" fontId="8" fillId="7" borderId="7" xfId="0" applyNumberFormat="1" applyFont="1" applyFill="1" applyBorder="1" applyAlignment="1">
      <alignment horizontal="center" vertical="center"/>
    </xf>
    <xf numFmtId="1" fontId="8" fillId="7" borderId="8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 vertical="center" wrapText="1"/>
    </xf>
    <xf numFmtId="1" fontId="8" fillId="6" borderId="7" xfId="0" applyNumberFormat="1" applyFont="1" applyFill="1" applyBorder="1" applyAlignment="1">
      <alignment horizontal="center" vertical="center"/>
    </xf>
    <xf numFmtId="1" fontId="8" fillId="6" borderId="8" xfId="0" applyNumberFormat="1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/>
    </xf>
    <xf numFmtId="1" fontId="8" fillId="9" borderId="7" xfId="0" applyNumberFormat="1" applyFont="1" applyFill="1" applyBorder="1" applyAlignment="1">
      <alignment horizontal="center" vertical="center"/>
    </xf>
    <xf numFmtId="1" fontId="8" fillId="9" borderId="8" xfId="0" applyNumberFormat="1" applyFont="1" applyFill="1" applyBorder="1" applyAlignment="1">
      <alignment horizontal="center" vertical="center"/>
    </xf>
    <xf numFmtId="1" fontId="8" fillId="5" borderId="7" xfId="0" applyNumberFormat="1" applyFont="1" applyFill="1" applyBorder="1" applyAlignment="1">
      <alignment horizontal="center" vertical="center"/>
    </xf>
    <xf numFmtId="1" fontId="8" fillId="5" borderId="8" xfId="0" applyNumberFormat="1" applyFont="1" applyFill="1" applyBorder="1" applyAlignment="1">
      <alignment horizontal="center" vertical="center"/>
    </xf>
    <xf numFmtId="1" fontId="8" fillId="8" borderId="7" xfId="0" applyNumberFormat="1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9" borderId="16" xfId="0" applyNumberFormat="1" applyFont="1" applyFill="1" applyBorder="1" applyAlignment="1">
      <alignment horizontal="center" vertical="center"/>
    </xf>
    <xf numFmtId="0" fontId="8" fillId="9" borderId="13" xfId="0" applyFont="1" applyFill="1" applyBorder="1" applyAlignment="1">
      <alignment horizontal="center" vertical="center"/>
    </xf>
    <xf numFmtId="0" fontId="8" fillId="9" borderId="14" xfId="0" applyFont="1" applyFill="1" applyBorder="1" applyAlignment="1">
      <alignment horizontal="center" vertical="center"/>
    </xf>
    <xf numFmtId="0" fontId="8" fillId="9" borderId="17" xfId="0" applyFont="1" applyFill="1" applyBorder="1" applyAlignment="1">
      <alignment horizontal="center" vertical="center"/>
    </xf>
    <xf numFmtId="0" fontId="8" fillId="9" borderId="18" xfId="0" applyFont="1" applyFill="1" applyBorder="1" applyAlignment="1">
      <alignment horizontal="center" vertical="center"/>
    </xf>
    <xf numFmtId="0" fontId="8" fillId="9" borderId="19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1" fontId="8" fillId="3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1" fontId="11" fillId="3" borderId="7" xfId="0" applyNumberFormat="1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" fontId="8" fillId="11" borderId="7" xfId="0" applyNumberFormat="1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1" fontId="8" fillId="10" borderId="7" xfId="0" applyNumberFormat="1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13" fillId="3" borderId="4" xfId="0" quotePrefix="1" applyFont="1" applyFill="1" applyBorder="1" applyAlignment="1">
      <alignment horizontal="center" vertical="center"/>
    </xf>
    <xf numFmtId="0" fontId="13" fillId="3" borderId="0" xfId="0" quotePrefix="1" applyFont="1" applyFill="1" applyAlignment="1">
      <alignment horizontal="center" vertical="center"/>
    </xf>
    <xf numFmtId="0" fontId="13" fillId="3" borderId="6" xfId="0" quotePrefix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color theme="1"/>
      </font>
      <numFmt numFmtId="0" formatCode="General"/>
      <fill>
        <patternFill>
          <bgColor rgb="FF92D050"/>
        </patternFill>
      </fill>
    </dxf>
    <dxf>
      <font>
        <color theme="1"/>
      </font>
      <numFmt numFmtId="0" formatCode="General"/>
      <fill>
        <patternFill>
          <bgColor rgb="FFFFFF00"/>
        </patternFill>
      </fill>
    </dxf>
    <dxf>
      <font>
        <color theme="1"/>
      </font>
      <numFmt numFmtId="0" formatCode="General"/>
      <fill>
        <patternFill>
          <bgColor rgb="FFFF0000"/>
        </patternFill>
      </fill>
    </dxf>
    <dxf>
      <font>
        <color theme="1"/>
      </font>
      <numFmt numFmtId="0" formatCode="General"/>
      <fill>
        <patternFill>
          <bgColor rgb="FFCC66FF"/>
        </patternFill>
      </fill>
    </dxf>
    <dxf>
      <font>
        <color theme="1"/>
      </font>
      <numFmt numFmtId="0" formatCode="General"/>
      <fill>
        <patternFill>
          <bgColor rgb="FF92D050"/>
        </patternFill>
      </fill>
    </dxf>
    <dxf>
      <font>
        <color theme="1"/>
      </font>
      <numFmt numFmtId="0" formatCode="General"/>
      <fill>
        <patternFill>
          <bgColor rgb="FFFFFF00"/>
        </patternFill>
      </fill>
    </dxf>
    <dxf>
      <font>
        <color theme="1"/>
      </font>
      <numFmt numFmtId="0" formatCode="General"/>
      <fill>
        <patternFill>
          <bgColor rgb="FFFF0000"/>
        </patternFill>
      </fill>
    </dxf>
    <dxf>
      <font>
        <color theme="1"/>
      </font>
      <numFmt numFmtId="0" formatCode="General"/>
      <fill>
        <patternFill>
          <bgColor rgb="FFCC66FF"/>
        </patternFill>
      </fill>
    </dxf>
  </dxfs>
  <tableStyles count="0" defaultTableStyle="TableStyleMedium2" defaultPivotStyle="PivotStyleLight16"/>
  <colors>
    <mruColors>
      <color rgb="FFFFCC99"/>
      <color rgb="FFCC99FF"/>
      <color rgb="FFCCFFCC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11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61484</xdr:colOff>
      <xdr:row>1</xdr:row>
      <xdr:rowOff>21981</xdr:rowOff>
    </xdr:from>
    <xdr:to>
      <xdr:col>6</xdr:col>
      <xdr:colOff>589022</xdr:colOff>
      <xdr:row>1</xdr:row>
      <xdr:rowOff>627880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8245" y="858524"/>
          <a:ext cx="527538" cy="605899"/>
        </a:xfrm>
        <a:prstGeom prst="rect">
          <a:avLst/>
        </a:prstGeom>
      </xdr:spPr>
    </xdr:pic>
    <xdr:clientData/>
  </xdr:twoCellAnchor>
  <xdr:twoCellAnchor editAs="oneCell">
    <xdr:from>
      <xdr:col>4</xdr:col>
      <xdr:colOff>37592</xdr:colOff>
      <xdr:row>1</xdr:row>
      <xdr:rowOff>65943</xdr:rowOff>
    </xdr:from>
    <xdr:to>
      <xdr:col>4</xdr:col>
      <xdr:colOff>594118</xdr:colOff>
      <xdr:row>1</xdr:row>
      <xdr:rowOff>600808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29440" y="902486"/>
          <a:ext cx="556526" cy="534865"/>
        </a:xfrm>
        <a:prstGeom prst="rect">
          <a:avLst/>
        </a:prstGeom>
      </xdr:spPr>
    </xdr:pic>
    <xdr:clientData/>
  </xdr:twoCellAnchor>
  <xdr:twoCellAnchor editAs="oneCell">
    <xdr:from>
      <xdr:col>5</xdr:col>
      <xdr:colOff>110861</xdr:colOff>
      <xdr:row>1</xdr:row>
      <xdr:rowOff>36036</xdr:rowOff>
    </xdr:from>
    <xdr:to>
      <xdr:col>5</xdr:col>
      <xdr:colOff>661949</xdr:colOff>
      <xdr:row>1</xdr:row>
      <xdr:rowOff>630116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40470" y="872579"/>
          <a:ext cx="551088" cy="594080"/>
        </a:xfrm>
        <a:prstGeom prst="rect">
          <a:avLst/>
        </a:prstGeom>
      </xdr:spPr>
    </xdr:pic>
    <xdr:clientData/>
  </xdr:twoCellAnchor>
  <xdr:twoCellAnchor editAs="oneCell">
    <xdr:from>
      <xdr:col>2</xdr:col>
      <xdr:colOff>44918</xdr:colOff>
      <xdr:row>1</xdr:row>
      <xdr:rowOff>51650</xdr:rowOff>
    </xdr:from>
    <xdr:to>
      <xdr:col>2</xdr:col>
      <xdr:colOff>713185</xdr:colOff>
      <xdr:row>1</xdr:row>
      <xdr:rowOff>608135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2157" y="888193"/>
          <a:ext cx="668267" cy="556485"/>
        </a:xfrm>
        <a:prstGeom prst="rect">
          <a:avLst/>
        </a:prstGeom>
      </xdr:spPr>
    </xdr:pic>
    <xdr:clientData/>
  </xdr:twoCellAnchor>
  <xdr:twoCellAnchor editAs="oneCell">
    <xdr:from>
      <xdr:col>3</xdr:col>
      <xdr:colOff>85376</xdr:colOff>
      <xdr:row>1</xdr:row>
      <xdr:rowOff>23731</xdr:rowOff>
    </xdr:from>
    <xdr:to>
      <xdr:col>3</xdr:col>
      <xdr:colOff>610499</xdr:colOff>
      <xdr:row>1</xdr:row>
      <xdr:rowOff>615462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89767" y="860274"/>
          <a:ext cx="525123" cy="591731"/>
        </a:xfrm>
        <a:prstGeom prst="rect">
          <a:avLst/>
        </a:prstGeom>
      </xdr:spPr>
    </xdr:pic>
    <xdr:clientData/>
  </xdr:twoCellAnchor>
  <xdr:twoCellAnchor editAs="oneCell">
    <xdr:from>
      <xdr:col>1</xdr:col>
      <xdr:colOff>29308</xdr:colOff>
      <xdr:row>1</xdr:row>
      <xdr:rowOff>74469</xdr:rowOff>
    </xdr:from>
    <xdr:to>
      <xdr:col>1</xdr:col>
      <xdr:colOff>605106</xdr:colOff>
      <xdr:row>1</xdr:row>
      <xdr:rowOff>613835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3141" y="720052"/>
          <a:ext cx="575798" cy="539366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1</xdr:row>
      <xdr:rowOff>37423</xdr:rowOff>
    </xdr:from>
    <xdr:to>
      <xdr:col>7</xdr:col>
      <xdr:colOff>710003</xdr:colOff>
      <xdr:row>1</xdr:row>
      <xdr:rowOff>630115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52596" y="872692"/>
          <a:ext cx="614753" cy="592692"/>
        </a:xfrm>
        <a:prstGeom prst="rect">
          <a:avLst/>
        </a:prstGeom>
      </xdr:spPr>
    </xdr:pic>
    <xdr:clientData/>
  </xdr:twoCellAnchor>
  <xdr:twoCellAnchor editAs="oneCell">
    <xdr:from>
      <xdr:col>8</xdr:col>
      <xdr:colOff>161574</xdr:colOff>
      <xdr:row>1</xdr:row>
      <xdr:rowOff>45471</xdr:rowOff>
    </xdr:from>
    <xdr:to>
      <xdr:col>8</xdr:col>
      <xdr:colOff>754673</xdr:colOff>
      <xdr:row>1</xdr:row>
      <xdr:rowOff>615462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17555" y="880740"/>
          <a:ext cx="593099" cy="569991"/>
        </a:xfrm>
        <a:prstGeom prst="rect">
          <a:avLst/>
        </a:prstGeom>
      </xdr:spPr>
    </xdr:pic>
    <xdr:clientData/>
  </xdr:twoCellAnchor>
  <xdr:twoCellAnchor editAs="oneCell">
    <xdr:from>
      <xdr:col>10</xdr:col>
      <xdr:colOff>152782</xdr:colOff>
      <xdr:row>1</xdr:row>
      <xdr:rowOff>42883</xdr:rowOff>
    </xdr:from>
    <xdr:to>
      <xdr:col>10</xdr:col>
      <xdr:colOff>754674</xdr:colOff>
      <xdr:row>1</xdr:row>
      <xdr:rowOff>621325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H="1">
          <a:off x="7149994" y="878152"/>
          <a:ext cx="601892" cy="578442"/>
        </a:xfrm>
        <a:prstGeom prst="rect">
          <a:avLst/>
        </a:prstGeom>
      </xdr:spPr>
    </xdr:pic>
    <xdr:clientData/>
  </xdr:twoCellAnchor>
  <xdr:twoCellAnchor editAs="oneCell">
    <xdr:from>
      <xdr:col>9</xdr:col>
      <xdr:colOff>80597</xdr:colOff>
      <xdr:row>1</xdr:row>
      <xdr:rowOff>29308</xdr:rowOff>
    </xdr:from>
    <xdr:to>
      <xdr:col>9</xdr:col>
      <xdr:colOff>695350</xdr:colOff>
      <xdr:row>1</xdr:row>
      <xdr:rowOff>622000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flipH="1">
          <a:off x="6044712" y="864577"/>
          <a:ext cx="614753" cy="592692"/>
        </a:xfrm>
        <a:prstGeom prst="rect">
          <a:avLst/>
        </a:prstGeom>
      </xdr:spPr>
    </xdr:pic>
    <xdr:clientData/>
  </xdr:twoCellAnchor>
  <xdr:twoCellAnchor editAs="oneCell">
    <xdr:from>
      <xdr:col>11</xdr:col>
      <xdr:colOff>90792</xdr:colOff>
      <xdr:row>1</xdr:row>
      <xdr:rowOff>33664</xdr:rowOff>
    </xdr:from>
    <xdr:to>
      <xdr:col>11</xdr:col>
      <xdr:colOff>670573</xdr:colOff>
      <xdr:row>1</xdr:row>
      <xdr:rowOff>629481</xdr:rowOff>
    </xdr:to>
    <xdr:pic>
      <xdr:nvPicPr>
        <xdr:cNvPr id="23" name="Picture 75" descr="Reba lower arm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2199"/>
        <a:stretch/>
      </xdr:blipFill>
      <xdr:spPr bwMode="auto">
        <a:xfrm>
          <a:off x="7974561" y="868933"/>
          <a:ext cx="579781" cy="5958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106973</xdr:colOff>
      <xdr:row>1</xdr:row>
      <xdr:rowOff>36634</xdr:rowOff>
    </xdr:from>
    <xdr:to>
      <xdr:col>13</xdr:col>
      <xdr:colOff>686754</xdr:colOff>
      <xdr:row>1</xdr:row>
      <xdr:rowOff>632451</xdr:rowOff>
    </xdr:to>
    <xdr:pic>
      <xdr:nvPicPr>
        <xdr:cNvPr id="24" name="Picture 75" descr="Reba lower arm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2199"/>
        <a:stretch/>
      </xdr:blipFill>
      <xdr:spPr bwMode="auto">
        <a:xfrm flipH="1">
          <a:off x="9851048" y="874834"/>
          <a:ext cx="579781" cy="5958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200025</xdr:colOff>
      <xdr:row>1</xdr:row>
      <xdr:rowOff>76199</xdr:rowOff>
    </xdr:from>
    <xdr:to>
      <xdr:col>12</xdr:col>
      <xdr:colOff>885825</xdr:colOff>
      <xdr:row>1</xdr:row>
      <xdr:rowOff>592566</xdr:rowOff>
    </xdr:to>
    <xdr:pic>
      <xdr:nvPicPr>
        <xdr:cNvPr id="25" name="Immagin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duotone>
            <a:schemeClr val="accent3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8877300" y="914399"/>
          <a:ext cx="685800" cy="516367"/>
        </a:xfrm>
        <a:prstGeom prst="rect">
          <a:avLst/>
        </a:prstGeom>
      </xdr:spPr>
    </xdr:pic>
    <xdr:clientData/>
  </xdr:twoCellAnchor>
  <xdr:twoCellAnchor editAs="oneCell">
    <xdr:from>
      <xdr:col>14</xdr:col>
      <xdr:colOff>193429</xdr:colOff>
      <xdr:row>1</xdr:row>
      <xdr:rowOff>80596</xdr:rowOff>
    </xdr:from>
    <xdr:to>
      <xdr:col>14</xdr:col>
      <xdr:colOff>883362</xdr:colOff>
      <xdr:row>1</xdr:row>
      <xdr:rowOff>600075</xdr:rowOff>
    </xdr:to>
    <xdr:pic>
      <xdr:nvPicPr>
        <xdr:cNvPr id="26" name="Immagin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duotone>
            <a:schemeClr val="accent3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 flipH="1">
          <a:off x="10718554" y="918796"/>
          <a:ext cx="689933" cy="519479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66676</xdr:colOff>
      <xdr:row>1</xdr:row>
      <xdr:rowOff>180975</xdr:rowOff>
    </xdr:from>
    <xdr:to>
      <xdr:col>15</xdr:col>
      <xdr:colOff>800100</xdr:colOff>
      <xdr:row>1</xdr:row>
      <xdr:rowOff>516512</xdr:rowOff>
    </xdr:to>
    <xdr:pic>
      <xdr:nvPicPr>
        <xdr:cNvPr id="29" name="Picture 77" descr="Reba wrist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9889"/>
        <a:stretch/>
      </xdr:blipFill>
      <xdr:spPr bwMode="auto">
        <a:xfrm>
          <a:off x="11639551" y="1019175"/>
          <a:ext cx="733424" cy="335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76200</xdr:colOff>
      <xdr:row>1</xdr:row>
      <xdr:rowOff>171450</xdr:rowOff>
    </xdr:from>
    <xdr:to>
      <xdr:col>17</xdr:col>
      <xdr:colOff>809624</xdr:colOff>
      <xdr:row>1</xdr:row>
      <xdr:rowOff>506987</xdr:rowOff>
    </xdr:to>
    <xdr:pic>
      <xdr:nvPicPr>
        <xdr:cNvPr id="30" name="Picture 77" descr="Reba wrist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9889"/>
        <a:stretch/>
      </xdr:blipFill>
      <xdr:spPr bwMode="auto">
        <a:xfrm flipH="1">
          <a:off x="13115925" y="1009650"/>
          <a:ext cx="733424" cy="335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114300</xdr:colOff>
      <xdr:row>1</xdr:row>
      <xdr:rowOff>53314</xdr:rowOff>
    </xdr:from>
    <xdr:to>
      <xdr:col>16</xdr:col>
      <xdr:colOff>809625</xdr:colOff>
      <xdr:row>1</xdr:row>
      <xdr:rowOff>609298</xdr:rowOff>
    </xdr:to>
    <xdr:pic>
      <xdr:nvPicPr>
        <xdr:cNvPr id="31" name="Immagin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duotone>
            <a:schemeClr val="accent3">
              <a:shade val="45000"/>
              <a:satMod val="135000"/>
            </a:schemeClr>
            <a:prstClr val="white"/>
          </a:duotone>
        </a:blip>
        <a:srcRect t="10558"/>
        <a:stretch/>
      </xdr:blipFill>
      <xdr:spPr>
        <a:xfrm>
          <a:off x="12544425" y="891514"/>
          <a:ext cx="695325" cy="555984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1</xdr:row>
      <xdr:rowOff>57150</xdr:rowOff>
    </xdr:from>
    <xdr:to>
      <xdr:col>18</xdr:col>
      <xdr:colOff>819150</xdr:colOff>
      <xdr:row>1</xdr:row>
      <xdr:rowOff>613134</xdr:rowOff>
    </xdr:to>
    <xdr:pic>
      <xdr:nvPicPr>
        <xdr:cNvPr id="32" name="Immagin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duotone>
            <a:schemeClr val="accent3">
              <a:shade val="45000"/>
              <a:satMod val="135000"/>
            </a:schemeClr>
            <a:prstClr val="white"/>
          </a:duotone>
        </a:blip>
        <a:srcRect t="10558"/>
        <a:stretch/>
      </xdr:blipFill>
      <xdr:spPr>
        <a:xfrm flipH="1">
          <a:off x="14316075" y="895350"/>
          <a:ext cx="695325" cy="555984"/>
        </a:xfrm>
        <a:prstGeom prst="rect">
          <a:avLst/>
        </a:prstGeom>
      </xdr:spPr>
    </xdr:pic>
    <xdr:clientData/>
  </xdr:twoCellAnchor>
  <xdr:twoCellAnchor editAs="oneCell">
    <xdr:from>
      <xdr:col>22</xdr:col>
      <xdr:colOff>157374</xdr:colOff>
      <xdr:row>1</xdr:row>
      <xdr:rowOff>82829</xdr:rowOff>
    </xdr:from>
    <xdr:to>
      <xdr:col>22</xdr:col>
      <xdr:colOff>611259</xdr:colOff>
      <xdr:row>1</xdr:row>
      <xdr:rowOff>579784</xdr:rowOff>
    </xdr:to>
    <xdr:pic>
      <xdr:nvPicPr>
        <xdr:cNvPr id="33" name="Immagin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duotone>
            <a:schemeClr val="accent3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6639765" y="919372"/>
          <a:ext cx="453885" cy="496955"/>
        </a:xfrm>
        <a:prstGeom prst="rect">
          <a:avLst/>
        </a:prstGeom>
      </xdr:spPr>
    </xdr:pic>
    <xdr:clientData/>
  </xdr:twoCellAnchor>
  <xdr:twoCellAnchor editAs="oneCell">
    <xdr:from>
      <xdr:col>23</xdr:col>
      <xdr:colOff>168970</xdr:colOff>
      <xdr:row>1</xdr:row>
      <xdr:rowOff>77858</xdr:rowOff>
    </xdr:from>
    <xdr:to>
      <xdr:col>23</xdr:col>
      <xdr:colOff>622855</xdr:colOff>
      <xdr:row>1</xdr:row>
      <xdr:rowOff>574813</xdr:rowOff>
    </xdr:to>
    <xdr:pic>
      <xdr:nvPicPr>
        <xdr:cNvPr id="34" name="Immagin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duotone>
            <a:schemeClr val="accent3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 flipH="1">
          <a:off x="17421644" y="914401"/>
          <a:ext cx="453885" cy="496955"/>
        </a:xfrm>
        <a:prstGeom prst="rect">
          <a:avLst/>
        </a:prstGeom>
      </xdr:spPr>
    </xdr:pic>
    <xdr:clientData/>
  </xdr:twoCellAnchor>
  <xdr:twoCellAnchor editAs="oneCell">
    <xdr:from>
      <xdr:col>19</xdr:col>
      <xdr:colOff>49696</xdr:colOff>
      <xdr:row>1</xdr:row>
      <xdr:rowOff>32262</xdr:rowOff>
    </xdr:from>
    <xdr:to>
      <xdr:col>19</xdr:col>
      <xdr:colOff>803414</xdr:colOff>
      <xdr:row>1</xdr:row>
      <xdr:rowOff>609705</xdr:rowOff>
    </xdr:to>
    <xdr:pic>
      <xdr:nvPicPr>
        <xdr:cNvPr id="35" name="Picture 61" descr="Reba le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829"/>
        <a:stretch/>
      </xdr:blipFill>
      <xdr:spPr bwMode="auto">
        <a:xfrm>
          <a:off x="15306261" y="868805"/>
          <a:ext cx="753718" cy="57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61293</xdr:colOff>
      <xdr:row>1</xdr:row>
      <xdr:rowOff>19879</xdr:rowOff>
    </xdr:from>
    <xdr:to>
      <xdr:col>21</xdr:col>
      <xdr:colOff>712305</xdr:colOff>
      <xdr:row>1</xdr:row>
      <xdr:rowOff>614526</xdr:rowOff>
    </xdr:to>
    <xdr:pic>
      <xdr:nvPicPr>
        <xdr:cNvPr id="36" name="Picture 61" descr="Reba le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6550" b="6102"/>
        <a:stretch/>
      </xdr:blipFill>
      <xdr:spPr bwMode="auto">
        <a:xfrm>
          <a:off x="17048923" y="856422"/>
          <a:ext cx="651012" cy="5946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94422</xdr:colOff>
      <xdr:row>1</xdr:row>
      <xdr:rowOff>43857</xdr:rowOff>
    </xdr:from>
    <xdr:to>
      <xdr:col>20</xdr:col>
      <xdr:colOff>848140</xdr:colOff>
      <xdr:row>1</xdr:row>
      <xdr:rowOff>621300</xdr:rowOff>
    </xdr:to>
    <xdr:pic>
      <xdr:nvPicPr>
        <xdr:cNvPr id="37" name="Picture 61" descr="Reba le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829"/>
        <a:stretch/>
      </xdr:blipFill>
      <xdr:spPr bwMode="auto">
        <a:xfrm flipH="1">
          <a:off x="16179248" y="880400"/>
          <a:ext cx="753718" cy="57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61484</xdr:colOff>
      <xdr:row>1</xdr:row>
      <xdr:rowOff>21981</xdr:rowOff>
    </xdr:from>
    <xdr:to>
      <xdr:col>6</xdr:col>
      <xdr:colOff>589022</xdr:colOff>
      <xdr:row>1</xdr:row>
      <xdr:rowOff>627880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38A082D-F8B4-4F11-9775-1237C2C31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7244" y="852561"/>
          <a:ext cx="527538" cy="605899"/>
        </a:xfrm>
        <a:prstGeom prst="rect">
          <a:avLst/>
        </a:prstGeom>
      </xdr:spPr>
    </xdr:pic>
    <xdr:clientData/>
  </xdr:twoCellAnchor>
  <xdr:twoCellAnchor editAs="oneCell">
    <xdr:from>
      <xdr:col>5</xdr:col>
      <xdr:colOff>110861</xdr:colOff>
      <xdr:row>1</xdr:row>
      <xdr:rowOff>36036</xdr:rowOff>
    </xdr:from>
    <xdr:to>
      <xdr:col>5</xdr:col>
      <xdr:colOff>661949</xdr:colOff>
      <xdr:row>1</xdr:row>
      <xdr:rowOff>630116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32796F29-382B-4AFA-9AFF-A0D5DA9EA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32241" y="866616"/>
          <a:ext cx="551088" cy="594080"/>
        </a:xfrm>
        <a:prstGeom prst="rect">
          <a:avLst/>
        </a:prstGeom>
      </xdr:spPr>
    </xdr:pic>
    <xdr:clientData/>
  </xdr:twoCellAnchor>
  <xdr:twoCellAnchor editAs="oneCell">
    <xdr:from>
      <xdr:col>2</xdr:col>
      <xdr:colOff>44918</xdr:colOff>
      <xdr:row>1</xdr:row>
      <xdr:rowOff>51650</xdr:rowOff>
    </xdr:from>
    <xdr:to>
      <xdr:col>2</xdr:col>
      <xdr:colOff>713185</xdr:colOff>
      <xdr:row>1</xdr:row>
      <xdr:rowOff>608135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CF8B7A82-31D0-4818-80E1-78718BCF0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7938" y="882230"/>
          <a:ext cx="668267" cy="556485"/>
        </a:xfrm>
        <a:prstGeom prst="rect">
          <a:avLst/>
        </a:prstGeom>
      </xdr:spPr>
    </xdr:pic>
    <xdr:clientData/>
  </xdr:twoCellAnchor>
  <xdr:twoCellAnchor editAs="oneCell">
    <xdr:from>
      <xdr:col>3</xdr:col>
      <xdr:colOff>85376</xdr:colOff>
      <xdr:row>1</xdr:row>
      <xdr:rowOff>23731</xdr:rowOff>
    </xdr:from>
    <xdr:to>
      <xdr:col>3</xdr:col>
      <xdr:colOff>610499</xdr:colOff>
      <xdr:row>1</xdr:row>
      <xdr:rowOff>615462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43437DC5-509A-48EB-86A6-EB1F2DEC2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2776" y="854311"/>
          <a:ext cx="525123" cy="591731"/>
        </a:xfrm>
        <a:prstGeom prst="rect">
          <a:avLst/>
        </a:prstGeom>
      </xdr:spPr>
    </xdr:pic>
    <xdr:clientData/>
  </xdr:twoCellAnchor>
  <xdr:twoCellAnchor editAs="oneCell">
    <xdr:from>
      <xdr:col>1</xdr:col>
      <xdr:colOff>29308</xdr:colOff>
      <xdr:row>1</xdr:row>
      <xdr:rowOff>74468</xdr:rowOff>
    </xdr:from>
    <xdr:to>
      <xdr:col>1</xdr:col>
      <xdr:colOff>634230</xdr:colOff>
      <xdr:row>1</xdr:row>
      <xdr:rowOff>578828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1A7370DC-1900-4081-9F0A-4C5DC7801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4148" y="905048"/>
          <a:ext cx="604922" cy="50436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1</xdr:row>
      <xdr:rowOff>37423</xdr:rowOff>
    </xdr:from>
    <xdr:to>
      <xdr:col>7</xdr:col>
      <xdr:colOff>710003</xdr:colOff>
      <xdr:row>1</xdr:row>
      <xdr:rowOff>630115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B4751C56-9148-4CD9-ACFE-B7DB0C00A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33950" y="868003"/>
          <a:ext cx="614753" cy="592692"/>
        </a:xfrm>
        <a:prstGeom prst="rect">
          <a:avLst/>
        </a:prstGeom>
      </xdr:spPr>
    </xdr:pic>
    <xdr:clientData/>
  </xdr:twoCellAnchor>
  <xdr:twoCellAnchor editAs="oneCell">
    <xdr:from>
      <xdr:col>8</xdr:col>
      <xdr:colOff>161574</xdr:colOff>
      <xdr:row>1</xdr:row>
      <xdr:rowOff>45471</xdr:rowOff>
    </xdr:from>
    <xdr:to>
      <xdr:col>8</xdr:col>
      <xdr:colOff>754673</xdr:colOff>
      <xdr:row>1</xdr:row>
      <xdr:rowOff>615462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E931A3F9-81B7-4126-98A7-335329F31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23234" y="876051"/>
          <a:ext cx="593099" cy="569991"/>
        </a:xfrm>
        <a:prstGeom prst="rect">
          <a:avLst/>
        </a:prstGeom>
      </xdr:spPr>
    </xdr:pic>
    <xdr:clientData/>
  </xdr:twoCellAnchor>
  <xdr:twoCellAnchor editAs="oneCell">
    <xdr:from>
      <xdr:col>10</xdr:col>
      <xdr:colOff>152782</xdr:colOff>
      <xdr:row>1</xdr:row>
      <xdr:rowOff>42883</xdr:rowOff>
    </xdr:from>
    <xdr:to>
      <xdr:col>10</xdr:col>
      <xdr:colOff>754674</xdr:colOff>
      <xdr:row>1</xdr:row>
      <xdr:rowOff>621325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78C43245-E4E4-4C5D-8F17-6E4CFEEB3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flipH="1">
          <a:off x="7506082" y="873463"/>
          <a:ext cx="601892" cy="578442"/>
        </a:xfrm>
        <a:prstGeom prst="rect">
          <a:avLst/>
        </a:prstGeom>
      </xdr:spPr>
    </xdr:pic>
    <xdr:clientData/>
  </xdr:twoCellAnchor>
  <xdr:twoCellAnchor editAs="oneCell">
    <xdr:from>
      <xdr:col>9</xdr:col>
      <xdr:colOff>80597</xdr:colOff>
      <xdr:row>1</xdr:row>
      <xdr:rowOff>29308</xdr:rowOff>
    </xdr:from>
    <xdr:to>
      <xdr:col>9</xdr:col>
      <xdr:colOff>695350</xdr:colOff>
      <xdr:row>1</xdr:row>
      <xdr:rowOff>622000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C5A4F853-34F5-4FCC-AAB4-4783B1875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H="1">
          <a:off x="6656657" y="859888"/>
          <a:ext cx="614753" cy="592692"/>
        </a:xfrm>
        <a:prstGeom prst="rect">
          <a:avLst/>
        </a:prstGeom>
      </xdr:spPr>
    </xdr:pic>
    <xdr:clientData/>
  </xdr:twoCellAnchor>
  <xdr:twoCellAnchor editAs="oneCell">
    <xdr:from>
      <xdr:col>11</xdr:col>
      <xdr:colOff>90792</xdr:colOff>
      <xdr:row>1</xdr:row>
      <xdr:rowOff>33664</xdr:rowOff>
    </xdr:from>
    <xdr:to>
      <xdr:col>11</xdr:col>
      <xdr:colOff>670573</xdr:colOff>
      <xdr:row>1</xdr:row>
      <xdr:rowOff>629481</xdr:rowOff>
    </xdr:to>
    <xdr:pic>
      <xdr:nvPicPr>
        <xdr:cNvPr id="12" name="Picture 75" descr="Reba lower arm">
          <a:extLst>
            <a:ext uri="{FF2B5EF4-FFF2-40B4-BE49-F238E27FC236}">
              <a16:creationId xmlns:a16="http://schemas.microsoft.com/office/drawing/2014/main" id="{C5357326-C78B-4031-8F12-DA985B1DCF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2199"/>
        <a:stretch/>
      </xdr:blipFill>
      <xdr:spPr bwMode="auto">
        <a:xfrm>
          <a:off x="8358492" y="864244"/>
          <a:ext cx="579781" cy="5958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106973</xdr:colOff>
      <xdr:row>1</xdr:row>
      <xdr:rowOff>36634</xdr:rowOff>
    </xdr:from>
    <xdr:to>
      <xdr:col>13</xdr:col>
      <xdr:colOff>686754</xdr:colOff>
      <xdr:row>1</xdr:row>
      <xdr:rowOff>632451</xdr:rowOff>
    </xdr:to>
    <xdr:pic>
      <xdr:nvPicPr>
        <xdr:cNvPr id="13" name="Picture 75" descr="Reba lower arm">
          <a:extLst>
            <a:ext uri="{FF2B5EF4-FFF2-40B4-BE49-F238E27FC236}">
              <a16:creationId xmlns:a16="http://schemas.microsoft.com/office/drawing/2014/main" id="{42F2214F-B960-4285-91FD-E6740F5A76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2199"/>
        <a:stretch/>
      </xdr:blipFill>
      <xdr:spPr bwMode="auto">
        <a:xfrm flipH="1">
          <a:off x="10287293" y="867214"/>
          <a:ext cx="579781" cy="5958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200025</xdr:colOff>
      <xdr:row>1</xdr:row>
      <xdr:rowOff>76199</xdr:rowOff>
    </xdr:from>
    <xdr:to>
      <xdr:col>12</xdr:col>
      <xdr:colOff>885825</xdr:colOff>
      <xdr:row>1</xdr:row>
      <xdr:rowOff>592566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DA65FD98-BDE9-4583-9BE7-CB094A827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duotone>
            <a:schemeClr val="accent3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9283065" y="906779"/>
          <a:ext cx="685800" cy="516367"/>
        </a:xfrm>
        <a:prstGeom prst="rect">
          <a:avLst/>
        </a:prstGeom>
      </xdr:spPr>
    </xdr:pic>
    <xdr:clientData/>
  </xdr:twoCellAnchor>
  <xdr:twoCellAnchor editAs="oneCell">
    <xdr:from>
      <xdr:col>14</xdr:col>
      <xdr:colOff>193429</xdr:colOff>
      <xdr:row>1</xdr:row>
      <xdr:rowOff>80596</xdr:rowOff>
    </xdr:from>
    <xdr:to>
      <xdr:col>14</xdr:col>
      <xdr:colOff>883362</xdr:colOff>
      <xdr:row>1</xdr:row>
      <xdr:rowOff>600075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C5B25691-434B-4E7D-BCE8-783B643B1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duotone>
            <a:schemeClr val="accent3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 flipH="1">
          <a:off x="11173849" y="911176"/>
          <a:ext cx="689933" cy="519479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66676</xdr:colOff>
      <xdr:row>1</xdr:row>
      <xdr:rowOff>180975</xdr:rowOff>
    </xdr:from>
    <xdr:to>
      <xdr:col>15</xdr:col>
      <xdr:colOff>800100</xdr:colOff>
      <xdr:row>1</xdr:row>
      <xdr:rowOff>516512</xdr:rowOff>
    </xdr:to>
    <xdr:pic>
      <xdr:nvPicPr>
        <xdr:cNvPr id="16" name="Picture 77" descr="Reba wrist">
          <a:extLst>
            <a:ext uri="{FF2B5EF4-FFF2-40B4-BE49-F238E27FC236}">
              <a16:creationId xmlns:a16="http://schemas.microsoft.com/office/drawing/2014/main" id="{0A23930F-BA62-4B4A-8FB4-5A10390C6D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9889"/>
        <a:stretch/>
      </xdr:blipFill>
      <xdr:spPr bwMode="auto">
        <a:xfrm>
          <a:off x="12121516" y="1011555"/>
          <a:ext cx="733424" cy="335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76200</xdr:colOff>
      <xdr:row>1</xdr:row>
      <xdr:rowOff>171450</xdr:rowOff>
    </xdr:from>
    <xdr:to>
      <xdr:col>17</xdr:col>
      <xdr:colOff>809624</xdr:colOff>
      <xdr:row>1</xdr:row>
      <xdr:rowOff>506987</xdr:rowOff>
    </xdr:to>
    <xdr:pic>
      <xdr:nvPicPr>
        <xdr:cNvPr id="17" name="Picture 77" descr="Reba wrist">
          <a:extLst>
            <a:ext uri="{FF2B5EF4-FFF2-40B4-BE49-F238E27FC236}">
              <a16:creationId xmlns:a16="http://schemas.microsoft.com/office/drawing/2014/main" id="{2D089B60-EA04-46FF-BFA4-92D8B9F539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9889"/>
        <a:stretch/>
      </xdr:blipFill>
      <xdr:spPr bwMode="auto">
        <a:xfrm flipH="1">
          <a:off x="13936980" y="1002030"/>
          <a:ext cx="733424" cy="335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114300</xdr:colOff>
      <xdr:row>1</xdr:row>
      <xdr:rowOff>53314</xdr:rowOff>
    </xdr:from>
    <xdr:to>
      <xdr:col>16</xdr:col>
      <xdr:colOff>809625</xdr:colOff>
      <xdr:row>1</xdr:row>
      <xdr:rowOff>609298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C4365515-F1CD-477E-9B7A-69E03220C6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duotone>
            <a:schemeClr val="accent3">
              <a:shade val="45000"/>
              <a:satMod val="135000"/>
            </a:schemeClr>
            <a:prstClr val="white"/>
          </a:duotone>
        </a:blip>
        <a:srcRect t="10558"/>
        <a:stretch/>
      </xdr:blipFill>
      <xdr:spPr>
        <a:xfrm>
          <a:off x="13053060" y="883894"/>
          <a:ext cx="695325" cy="555984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1</xdr:row>
      <xdr:rowOff>57150</xdr:rowOff>
    </xdr:from>
    <xdr:to>
      <xdr:col>18</xdr:col>
      <xdr:colOff>819150</xdr:colOff>
      <xdr:row>1</xdr:row>
      <xdr:rowOff>613134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EA9E8D41-5E0F-4670-8EA6-0037161667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duotone>
            <a:schemeClr val="accent3">
              <a:shade val="45000"/>
              <a:satMod val="135000"/>
            </a:schemeClr>
            <a:prstClr val="white"/>
          </a:duotone>
        </a:blip>
        <a:srcRect t="10558"/>
        <a:stretch/>
      </xdr:blipFill>
      <xdr:spPr>
        <a:xfrm flipH="1">
          <a:off x="14876145" y="887730"/>
          <a:ext cx="695325" cy="555984"/>
        </a:xfrm>
        <a:prstGeom prst="rect">
          <a:avLst/>
        </a:prstGeom>
      </xdr:spPr>
    </xdr:pic>
    <xdr:clientData/>
  </xdr:twoCellAnchor>
  <xdr:twoCellAnchor editAs="oneCell">
    <xdr:from>
      <xdr:col>22</xdr:col>
      <xdr:colOff>157374</xdr:colOff>
      <xdr:row>1</xdr:row>
      <xdr:rowOff>82829</xdr:rowOff>
    </xdr:from>
    <xdr:to>
      <xdr:col>22</xdr:col>
      <xdr:colOff>611259</xdr:colOff>
      <xdr:row>1</xdr:row>
      <xdr:rowOff>579784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C30EF1F3-7DDF-4D84-93C9-AFD8ACD04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duotone>
            <a:schemeClr val="accent3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8407274" y="913409"/>
          <a:ext cx="453885" cy="496955"/>
        </a:xfrm>
        <a:prstGeom prst="rect">
          <a:avLst/>
        </a:prstGeom>
      </xdr:spPr>
    </xdr:pic>
    <xdr:clientData/>
  </xdr:twoCellAnchor>
  <xdr:twoCellAnchor editAs="oneCell">
    <xdr:from>
      <xdr:col>23</xdr:col>
      <xdr:colOff>168970</xdr:colOff>
      <xdr:row>1</xdr:row>
      <xdr:rowOff>77858</xdr:rowOff>
    </xdr:from>
    <xdr:to>
      <xdr:col>23</xdr:col>
      <xdr:colOff>622855</xdr:colOff>
      <xdr:row>1</xdr:row>
      <xdr:rowOff>574813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498CEF64-F320-4E66-B16D-B400B45BB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duotone>
            <a:schemeClr val="accent3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 flipH="1">
          <a:off x="19211350" y="908438"/>
          <a:ext cx="453885" cy="496955"/>
        </a:xfrm>
        <a:prstGeom prst="rect">
          <a:avLst/>
        </a:prstGeom>
      </xdr:spPr>
    </xdr:pic>
    <xdr:clientData/>
  </xdr:twoCellAnchor>
  <xdr:twoCellAnchor editAs="oneCell">
    <xdr:from>
      <xdr:col>19</xdr:col>
      <xdr:colOff>49696</xdr:colOff>
      <xdr:row>1</xdr:row>
      <xdr:rowOff>32262</xdr:rowOff>
    </xdr:from>
    <xdr:to>
      <xdr:col>19</xdr:col>
      <xdr:colOff>803414</xdr:colOff>
      <xdr:row>1</xdr:row>
      <xdr:rowOff>609705</xdr:rowOff>
    </xdr:to>
    <xdr:pic>
      <xdr:nvPicPr>
        <xdr:cNvPr id="22" name="Picture 61" descr="Reba leg">
          <a:extLst>
            <a:ext uri="{FF2B5EF4-FFF2-40B4-BE49-F238E27FC236}">
              <a16:creationId xmlns:a16="http://schemas.microsoft.com/office/drawing/2014/main" id="{0CE796B4-2CE3-4AF2-8AC0-5589EE530E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829"/>
        <a:stretch/>
      </xdr:blipFill>
      <xdr:spPr bwMode="auto">
        <a:xfrm>
          <a:off x="15731656" y="862842"/>
          <a:ext cx="753718" cy="57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76533</xdr:colOff>
      <xdr:row>1</xdr:row>
      <xdr:rowOff>27499</xdr:rowOff>
    </xdr:from>
    <xdr:to>
      <xdr:col>21</xdr:col>
      <xdr:colOff>727545</xdr:colOff>
      <xdr:row>1</xdr:row>
      <xdr:rowOff>622146</xdr:rowOff>
    </xdr:to>
    <xdr:pic>
      <xdr:nvPicPr>
        <xdr:cNvPr id="23" name="Picture 61" descr="Reba leg">
          <a:extLst>
            <a:ext uri="{FF2B5EF4-FFF2-40B4-BE49-F238E27FC236}">
              <a16:creationId xmlns:a16="http://schemas.microsoft.com/office/drawing/2014/main" id="{63903D9C-51D6-46B1-A07A-B7B72BFCAE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6550" b="6102"/>
        <a:stretch/>
      </xdr:blipFill>
      <xdr:spPr bwMode="auto">
        <a:xfrm>
          <a:off x="18245115" y="674347"/>
          <a:ext cx="651012" cy="5946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94422</xdr:colOff>
      <xdr:row>1</xdr:row>
      <xdr:rowOff>43857</xdr:rowOff>
    </xdr:from>
    <xdr:to>
      <xdr:col>20</xdr:col>
      <xdr:colOff>848140</xdr:colOff>
      <xdr:row>1</xdr:row>
      <xdr:rowOff>621300</xdr:rowOff>
    </xdr:to>
    <xdr:pic>
      <xdr:nvPicPr>
        <xdr:cNvPr id="24" name="Picture 61" descr="Reba leg">
          <a:extLst>
            <a:ext uri="{FF2B5EF4-FFF2-40B4-BE49-F238E27FC236}">
              <a16:creationId xmlns:a16="http://schemas.microsoft.com/office/drawing/2014/main" id="{AE77F7FF-418D-453C-8AF2-E42E5D4FBF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829"/>
        <a:stretch/>
      </xdr:blipFill>
      <xdr:spPr bwMode="auto">
        <a:xfrm flipH="1">
          <a:off x="16629822" y="874437"/>
          <a:ext cx="753718" cy="57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105324</xdr:colOff>
      <xdr:row>1</xdr:row>
      <xdr:rowOff>119062</xdr:rowOff>
    </xdr:from>
    <xdr:to>
      <xdr:col>4</xdr:col>
      <xdr:colOff>661850</xdr:colOff>
      <xdr:row>2</xdr:row>
      <xdr:rowOff>8243</xdr:rowOff>
    </xdr:to>
    <xdr:pic>
      <xdr:nvPicPr>
        <xdr:cNvPr id="3" name="Immagine 4">
          <a:extLst>
            <a:ext uri="{FF2B5EF4-FFF2-40B4-BE49-F238E27FC236}">
              <a16:creationId xmlns:a16="http://schemas.microsoft.com/office/drawing/2014/main" id="{9C01F7AE-E292-400E-95E5-99B59A56E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67404" y="764748"/>
          <a:ext cx="556526" cy="5348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</xdr:row>
      <xdr:rowOff>17613</xdr:rowOff>
    </xdr:from>
    <xdr:to>
      <xdr:col>2</xdr:col>
      <xdr:colOff>510540</xdr:colOff>
      <xdr:row>6</xdr:row>
      <xdr:rowOff>467</xdr:rowOff>
    </xdr:to>
    <xdr:pic>
      <xdr:nvPicPr>
        <xdr:cNvPr id="2" name="Picture 29" descr="Reba Neck">
          <a:extLst>
            <a:ext uri="{FF2B5EF4-FFF2-40B4-BE49-F238E27FC236}">
              <a16:creationId xmlns:a16="http://schemas.microsoft.com/office/drawing/2014/main" id="{7E84C195-5070-4219-9C6F-6A0F5EEBB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403832"/>
          <a:ext cx="1711864" cy="734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12</xdr:row>
      <xdr:rowOff>19051</xdr:rowOff>
    </xdr:from>
    <xdr:to>
      <xdr:col>4</xdr:col>
      <xdr:colOff>471122</xdr:colOff>
      <xdr:row>15</xdr:row>
      <xdr:rowOff>73069</xdr:rowOff>
    </xdr:to>
    <xdr:pic>
      <xdr:nvPicPr>
        <xdr:cNvPr id="3" name="Picture 30" descr="Reba trunk 1">
          <a:extLst>
            <a:ext uri="{FF2B5EF4-FFF2-40B4-BE49-F238E27FC236}">
              <a16:creationId xmlns:a16="http://schemas.microsoft.com/office/drawing/2014/main" id="{A9EC2CE9-967A-4B64-A2AC-5086AA711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284174"/>
          <a:ext cx="2864246" cy="617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21</xdr:row>
      <xdr:rowOff>133350</xdr:rowOff>
    </xdr:from>
    <xdr:to>
      <xdr:col>3</xdr:col>
      <xdr:colOff>592455</xdr:colOff>
      <xdr:row>27</xdr:row>
      <xdr:rowOff>135255</xdr:rowOff>
    </xdr:to>
    <xdr:pic>
      <xdr:nvPicPr>
        <xdr:cNvPr id="4" name="Picture 31" descr="Reba leg">
          <a:extLst>
            <a:ext uri="{FF2B5EF4-FFF2-40B4-BE49-F238E27FC236}">
              <a16:creationId xmlns:a16="http://schemas.microsoft.com/office/drawing/2014/main" id="{0119D88D-3777-4D0E-9E8A-D73CDB447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3569970"/>
          <a:ext cx="2411730" cy="10991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28575</xdr:colOff>
      <xdr:row>2</xdr:row>
      <xdr:rowOff>29877</xdr:rowOff>
    </xdr:from>
    <xdr:to>
      <xdr:col>25</xdr:col>
      <xdr:colOff>215265</xdr:colOff>
      <xdr:row>7</xdr:row>
      <xdr:rowOff>39402</xdr:rowOff>
    </xdr:to>
    <xdr:pic>
      <xdr:nvPicPr>
        <xdr:cNvPr id="5" name="Picture 33" descr="Reba Upper Arm 1">
          <a:extLst>
            <a:ext uri="{FF2B5EF4-FFF2-40B4-BE49-F238E27FC236}">
              <a16:creationId xmlns:a16="http://schemas.microsoft.com/office/drawing/2014/main" id="{51A2BEEA-9C1D-4140-B2C2-DA3F77A88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7068" y="416096"/>
          <a:ext cx="3213813" cy="9489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76200</xdr:colOff>
      <xdr:row>15</xdr:row>
      <xdr:rowOff>9525</xdr:rowOff>
    </xdr:from>
    <xdr:to>
      <xdr:col>22</xdr:col>
      <xdr:colOff>232410</xdr:colOff>
      <xdr:row>19</xdr:row>
      <xdr:rowOff>78105</xdr:rowOff>
    </xdr:to>
    <xdr:pic>
      <xdr:nvPicPr>
        <xdr:cNvPr id="6" name="Picture 37" descr="Reba lower arm">
          <a:extLst>
            <a:ext uri="{FF2B5EF4-FFF2-40B4-BE49-F238E27FC236}">
              <a16:creationId xmlns:a16="http://schemas.microsoft.com/office/drawing/2014/main" id="{AB572575-AE57-44A3-90B3-E7D6A9500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7180" y="2531745"/>
          <a:ext cx="137541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28575</xdr:colOff>
      <xdr:row>23</xdr:row>
      <xdr:rowOff>38100</xdr:rowOff>
    </xdr:from>
    <xdr:to>
      <xdr:col>23</xdr:col>
      <xdr:colOff>171450</xdr:colOff>
      <xdr:row>25</xdr:row>
      <xdr:rowOff>110490</xdr:rowOff>
    </xdr:to>
    <xdr:pic>
      <xdr:nvPicPr>
        <xdr:cNvPr id="7" name="Picture 38" descr="Reba wrist">
          <a:extLst>
            <a:ext uri="{FF2B5EF4-FFF2-40B4-BE49-F238E27FC236}">
              <a16:creationId xmlns:a16="http://schemas.microsoft.com/office/drawing/2014/main" id="{690351AC-AB7B-4D38-9390-635FFDCC3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9555" y="3779520"/>
          <a:ext cx="1971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449243</xdr:colOff>
      <xdr:row>41</xdr:row>
      <xdr:rowOff>123825</xdr:rowOff>
    </xdr:from>
    <xdr:to>
      <xdr:col>13</xdr:col>
      <xdr:colOff>430193</xdr:colOff>
      <xdr:row>44</xdr:row>
      <xdr:rowOff>104775</xdr:rowOff>
    </xdr:to>
    <xdr:sp macro="" textlink="">
      <xdr:nvSpPr>
        <xdr:cNvPr id="8" name="Line 41">
          <a:extLst>
            <a:ext uri="{FF2B5EF4-FFF2-40B4-BE49-F238E27FC236}">
              <a16:creationId xmlns:a16="http://schemas.microsoft.com/office/drawing/2014/main" id="{097F6DFD-6EEB-483B-B809-2690C2037461}"/>
            </a:ext>
          </a:extLst>
        </xdr:cNvPr>
        <xdr:cNvSpPr>
          <a:spLocks noChangeShapeType="1"/>
        </xdr:cNvSpPr>
      </xdr:nvSpPr>
      <xdr:spPr bwMode="auto">
        <a:xfrm flipH="1">
          <a:off x="6503490" y="8161359"/>
          <a:ext cx="1797224" cy="54462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76201</xdr:colOff>
      <xdr:row>41</xdr:row>
      <xdr:rowOff>66675</xdr:rowOff>
    </xdr:from>
    <xdr:to>
      <xdr:col>8</xdr:col>
      <xdr:colOff>200026</xdr:colOff>
      <xdr:row>44</xdr:row>
      <xdr:rowOff>95250</xdr:rowOff>
    </xdr:to>
    <xdr:sp macro="" textlink="">
      <xdr:nvSpPr>
        <xdr:cNvPr id="9" name="Line 42">
          <a:extLst>
            <a:ext uri="{FF2B5EF4-FFF2-40B4-BE49-F238E27FC236}">
              <a16:creationId xmlns:a16="http://schemas.microsoft.com/office/drawing/2014/main" id="{E9F958CA-D303-48C5-9343-02C11C4FE8A9}"/>
            </a:ext>
          </a:extLst>
        </xdr:cNvPr>
        <xdr:cNvSpPr>
          <a:spLocks noChangeShapeType="1"/>
        </xdr:cNvSpPr>
      </xdr:nvSpPr>
      <xdr:spPr bwMode="auto">
        <a:xfrm>
          <a:off x="4671061" y="6612255"/>
          <a:ext cx="741045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"/>
  <sheetViews>
    <sheetView tabSelected="1" zoomScale="90" zoomScaleNormal="85" workbookViewId="0">
      <selection activeCell="H32" sqref="H32"/>
    </sheetView>
  </sheetViews>
  <sheetFormatPr defaultRowHeight="15" x14ac:dyDescent="0.25"/>
  <cols>
    <col min="1" max="1" width="9.140625" style="1"/>
    <col min="2" max="2" width="9.85546875" style="2" customWidth="1"/>
    <col min="3" max="3" width="11" style="2" customWidth="1"/>
    <col min="4" max="4" width="10.28515625" style="2" customWidth="1"/>
    <col min="5" max="5" width="9.5703125" style="2" customWidth="1"/>
    <col min="6" max="6" width="11" style="2" customWidth="1"/>
    <col min="7" max="7" width="9.7109375" style="2" customWidth="1"/>
    <col min="8" max="8" width="12" style="2" bestFit="1" customWidth="1"/>
    <col min="9" max="9" width="13.28515625" style="2" bestFit="1" customWidth="1"/>
    <col min="10" max="10" width="11.28515625" style="2" customWidth="1"/>
    <col min="11" max="11" width="13.28515625" bestFit="1" customWidth="1"/>
    <col min="12" max="12" width="11.85546875" customWidth="1"/>
    <col min="13" max="13" width="16" bestFit="1" customWidth="1"/>
    <col min="14" max="14" width="11.7109375" customWidth="1"/>
    <col min="15" max="15" width="15.7109375" customWidth="1"/>
    <col min="16" max="16" width="12.85546875" customWidth="1"/>
    <col min="17" max="17" width="13.42578125" customWidth="1"/>
    <col min="18" max="18" width="13" customWidth="1"/>
    <col min="19" max="19" width="13.5703125" customWidth="1"/>
    <col min="20" max="20" width="12.42578125" customWidth="1"/>
    <col min="21" max="21" width="13.5703125" customWidth="1"/>
    <col min="22" max="22" width="11.42578125" customWidth="1"/>
    <col min="23" max="23" width="11.5703125" customWidth="1"/>
    <col min="24" max="24" width="11.85546875" customWidth="1"/>
  </cols>
  <sheetData>
    <row r="1" spans="1:24" s="1" customFormat="1" ht="51" customHeight="1" x14ac:dyDescent="0.25">
      <c r="A1" s="3" t="s">
        <v>146</v>
      </c>
      <c r="B1" s="4" t="s">
        <v>123</v>
      </c>
      <c r="C1" s="4" t="s">
        <v>124</v>
      </c>
      <c r="D1" s="4" t="s">
        <v>125</v>
      </c>
      <c r="E1" s="4" t="s">
        <v>126</v>
      </c>
      <c r="F1" s="4" t="s">
        <v>127</v>
      </c>
      <c r="G1" s="4" t="s">
        <v>128</v>
      </c>
      <c r="H1" s="4" t="s">
        <v>129</v>
      </c>
      <c r="I1" s="4" t="s">
        <v>130</v>
      </c>
      <c r="J1" s="4" t="s">
        <v>131</v>
      </c>
      <c r="K1" s="4" t="s">
        <v>132</v>
      </c>
      <c r="L1" s="4" t="s">
        <v>133</v>
      </c>
      <c r="M1" s="3" t="s">
        <v>134</v>
      </c>
      <c r="N1" s="4" t="s">
        <v>135</v>
      </c>
      <c r="O1" s="3" t="s">
        <v>136</v>
      </c>
      <c r="P1" s="4" t="s">
        <v>137</v>
      </c>
      <c r="Q1" s="104" t="s">
        <v>138</v>
      </c>
      <c r="R1" s="4" t="s">
        <v>139</v>
      </c>
      <c r="S1" s="104" t="s">
        <v>140</v>
      </c>
      <c r="T1" s="4" t="s">
        <v>141</v>
      </c>
      <c r="U1" s="4" t="s">
        <v>142</v>
      </c>
      <c r="V1" s="4" t="s">
        <v>143</v>
      </c>
      <c r="W1" s="3" t="s">
        <v>144</v>
      </c>
      <c r="X1" s="3" t="s">
        <v>145</v>
      </c>
    </row>
    <row r="2" spans="1:24" s="1" customFormat="1" ht="51" customHeight="1" x14ac:dyDescent="0.25">
      <c r="A2" s="3" t="s">
        <v>99</v>
      </c>
      <c r="B2" s="3"/>
      <c r="C2" s="3"/>
      <c r="D2" s="2"/>
      <c r="E2" s="3"/>
      <c r="F2" s="3"/>
      <c r="G2" s="2"/>
      <c r="H2" s="2"/>
      <c r="I2" s="2"/>
      <c r="J2" s="2"/>
    </row>
    <row r="3" spans="1:24" x14ac:dyDescent="0.25">
      <c r="A3" s="106">
        <v>1</v>
      </c>
      <c r="B3" s="2">
        <v>46</v>
      </c>
      <c r="C3" s="2">
        <v>21</v>
      </c>
      <c r="D3" s="2">
        <v>-11</v>
      </c>
      <c r="E3" s="2">
        <v>-11</v>
      </c>
      <c r="F3" s="2">
        <v>65</v>
      </c>
      <c r="G3" s="2">
        <v>11</v>
      </c>
      <c r="H3" s="2">
        <v>91</v>
      </c>
      <c r="I3" s="2">
        <v>61</v>
      </c>
      <c r="J3" s="2">
        <v>25</v>
      </c>
      <c r="K3" s="2">
        <v>-61</v>
      </c>
      <c r="L3" s="2">
        <v>28</v>
      </c>
      <c r="M3" s="2">
        <v>30</v>
      </c>
      <c r="N3" s="2">
        <v>90</v>
      </c>
      <c r="O3" s="2">
        <v>65</v>
      </c>
      <c r="P3" s="2">
        <v>20</v>
      </c>
      <c r="Q3">
        <v>3</v>
      </c>
      <c r="R3">
        <v>20</v>
      </c>
      <c r="S3">
        <v>-25</v>
      </c>
      <c r="T3">
        <v>65</v>
      </c>
      <c r="U3">
        <v>28</v>
      </c>
      <c r="V3" s="105">
        <v>2</v>
      </c>
    </row>
    <row r="4" spans="1:24" x14ac:dyDescent="0.25">
      <c r="A4" s="106">
        <v>2</v>
      </c>
      <c r="B4" s="2">
        <v>47</v>
      </c>
      <c r="C4" s="2">
        <v>22</v>
      </c>
      <c r="D4" s="2">
        <v>-10</v>
      </c>
      <c r="E4" s="2">
        <v>-10</v>
      </c>
      <c r="F4" s="2">
        <v>66</v>
      </c>
      <c r="G4" s="2">
        <v>11</v>
      </c>
      <c r="H4" s="2">
        <v>92</v>
      </c>
      <c r="I4" s="2">
        <v>1</v>
      </c>
      <c r="J4" s="2">
        <v>26</v>
      </c>
      <c r="K4" s="2">
        <v>-59</v>
      </c>
      <c r="L4" s="2">
        <v>29</v>
      </c>
      <c r="M4" s="2">
        <v>32</v>
      </c>
      <c r="N4" s="2">
        <v>91</v>
      </c>
      <c r="O4" s="2">
        <v>60</v>
      </c>
      <c r="P4" s="2">
        <v>0</v>
      </c>
      <c r="Q4">
        <v>6</v>
      </c>
      <c r="R4">
        <v>-25</v>
      </c>
      <c r="S4">
        <v>-18</v>
      </c>
      <c r="T4">
        <v>10</v>
      </c>
      <c r="U4">
        <v>45</v>
      </c>
      <c r="V4" s="105">
        <v>2</v>
      </c>
    </row>
    <row r="5" spans="1:24" x14ac:dyDescent="0.25">
      <c r="A5" s="106">
        <v>3</v>
      </c>
      <c r="B5" s="2">
        <v>48</v>
      </c>
      <c r="C5" s="2">
        <v>23</v>
      </c>
      <c r="D5" s="2">
        <v>-9</v>
      </c>
      <c r="E5" s="2">
        <v>-9</v>
      </c>
      <c r="F5" s="2">
        <v>67</v>
      </c>
      <c r="G5" s="2">
        <v>11</v>
      </c>
      <c r="H5" s="2">
        <v>93</v>
      </c>
      <c r="I5" s="2">
        <v>2</v>
      </c>
      <c r="J5" s="2">
        <v>27</v>
      </c>
      <c r="K5" s="2">
        <v>-58</v>
      </c>
      <c r="L5" s="2">
        <v>30</v>
      </c>
      <c r="M5" s="2">
        <v>34</v>
      </c>
      <c r="N5" s="2">
        <v>92</v>
      </c>
      <c r="O5" s="2">
        <v>55</v>
      </c>
      <c r="P5" s="2">
        <v>1</v>
      </c>
      <c r="Q5">
        <v>9</v>
      </c>
      <c r="R5">
        <v>-24</v>
      </c>
      <c r="S5">
        <v>-16</v>
      </c>
      <c r="T5">
        <v>11</v>
      </c>
      <c r="U5">
        <v>46</v>
      </c>
      <c r="V5" s="105">
        <v>2</v>
      </c>
    </row>
    <row r="6" spans="1:24" x14ac:dyDescent="0.25">
      <c r="A6" s="106">
        <v>4</v>
      </c>
      <c r="B6" s="2">
        <v>49</v>
      </c>
      <c r="C6" s="2">
        <v>24</v>
      </c>
      <c r="D6" s="2">
        <v>-8</v>
      </c>
      <c r="E6" s="2">
        <v>-8</v>
      </c>
      <c r="F6" s="2">
        <v>68</v>
      </c>
      <c r="G6" s="2">
        <v>11</v>
      </c>
      <c r="H6" s="2">
        <v>94</v>
      </c>
      <c r="I6" s="2">
        <v>3</v>
      </c>
      <c r="J6" s="2">
        <v>28</v>
      </c>
      <c r="K6" s="2">
        <v>-57</v>
      </c>
      <c r="L6" s="2">
        <v>31</v>
      </c>
      <c r="M6" s="2">
        <v>36</v>
      </c>
      <c r="N6" s="2">
        <v>93</v>
      </c>
      <c r="O6" s="2">
        <v>50</v>
      </c>
      <c r="P6" s="2">
        <v>2</v>
      </c>
      <c r="Q6">
        <v>12</v>
      </c>
      <c r="R6">
        <v>-23</v>
      </c>
      <c r="S6">
        <v>-14</v>
      </c>
      <c r="T6">
        <v>12</v>
      </c>
      <c r="U6">
        <v>47</v>
      </c>
      <c r="V6" s="105">
        <v>2</v>
      </c>
    </row>
    <row r="7" spans="1:24" x14ac:dyDescent="0.25">
      <c r="A7" s="106">
        <v>5</v>
      </c>
      <c r="B7" s="2">
        <v>50</v>
      </c>
      <c r="C7" s="2">
        <v>25</v>
      </c>
      <c r="D7" s="2">
        <v>-7</v>
      </c>
      <c r="E7" s="2">
        <v>-7</v>
      </c>
      <c r="F7" s="2">
        <v>69</v>
      </c>
      <c r="G7" s="2">
        <v>11</v>
      </c>
      <c r="H7" s="2">
        <v>95</v>
      </c>
      <c r="I7" s="2">
        <v>4</v>
      </c>
      <c r="J7" s="2">
        <v>29</v>
      </c>
      <c r="K7" s="2">
        <v>-56</v>
      </c>
      <c r="L7" s="2">
        <v>32</v>
      </c>
      <c r="M7" s="2">
        <v>38</v>
      </c>
      <c r="N7" s="2">
        <v>94</v>
      </c>
      <c r="O7" s="2">
        <v>45</v>
      </c>
      <c r="P7" s="2">
        <v>3</v>
      </c>
      <c r="Q7">
        <v>15</v>
      </c>
      <c r="R7">
        <v>-22</v>
      </c>
      <c r="S7">
        <v>-12</v>
      </c>
      <c r="T7">
        <v>13</v>
      </c>
      <c r="U7">
        <v>48</v>
      </c>
      <c r="V7" s="105">
        <v>1</v>
      </c>
    </row>
    <row r="8" spans="1:24" x14ac:dyDescent="0.25">
      <c r="A8" s="106">
        <v>6</v>
      </c>
      <c r="B8" s="2">
        <v>51</v>
      </c>
      <c r="C8" s="2">
        <v>26</v>
      </c>
      <c r="D8" s="2">
        <v>-6</v>
      </c>
      <c r="E8" s="2">
        <v>-6</v>
      </c>
      <c r="F8" s="2">
        <v>2</v>
      </c>
      <c r="G8" s="2">
        <v>11</v>
      </c>
      <c r="H8" s="2">
        <v>1</v>
      </c>
      <c r="I8" s="2">
        <v>5</v>
      </c>
      <c r="J8" s="2">
        <v>30</v>
      </c>
      <c r="K8" s="2">
        <v>-55</v>
      </c>
      <c r="L8" s="2">
        <v>33</v>
      </c>
      <c r="M8" s="2">
        <v>40</v>
      </c>
      <c r="N8" s="2">
        <v>95</v>
      </c>
      <c r="O8" s="2">
        <v>40</v>
      </c>
      <c r="P8" s="2">
        <v>4</v>
      </c>
      <c r="Q8">
        <v>18</v>
      </c>
      <c r="R8">
        <v>-21</v>
      </c>
      <c r="S8">
        <v>-10</v>
      </c>
      <c r="T8">
        <v>14</v>
      </c>
      <c r="U8">
        <v>49</v>
      </c>
      <c r="V8" s="105">
        <v>1</v>
      </c>
    </row>
    <row r="9" spans="1:24" x14ac:dyDescent="0.25">
      <c r="A9" s="106">
        <v>7</v>
      </c>
      <c r="B9" s="2">
        <v>52</v>
      </c>
      <c r="C9" s="2">
        <v>27</v>
      </c>
      <c r="D9" s="2">
        <v>-5</v>
      </c>
      <c r="E9" s="2">
        <v>-5</v>
      </c>
      <c r="F9" s="2">
        <v>2</v>
      </c>
      <c r="G9" s="2">
        <v>11</v>
      </c>
      <c r="H9" s="2">
        <v>2</v>
      </c>
      <c r="I9" s="2">
        <v>6</v>
      </c>
      <c r="J9" s="2">
        <v>31</v>
      </c>
      <c r="K9" s="2">
        <v>-54</v>
      </c>
      <c r="L9" s="2">
        <v>34</v>
      </c>
      <c r="M9" s="2">
        <v>42</v>
      </c>
      <c r="N9" s="2">
        <v>96</v>
      </c>
      <c r="O9" s="2">
        <v>35</v>
      </c>
      <c r="P9" s="2">
        <v>5</v>
      </c>
      <c r="Q9">
        <v>21</v>
      </c>
      <c r="R9">
        <v>-20</v>
      </c>
      <c r="S9">
        <v>-8</v>
      </c>
      <c r="T9">
        <v>15</v>
      </c>
      <c r="U9">
        <v>50</v>
      </c>
      <c r="V9" s="105">
        <v>1</v>
      </c>
    </row>
    <row r="10" spans="1:24" x14ac:dyDescent="0.25">
      <c r="A10" s="106">
        <v>8</v>
      </c>
      <c r="B10" s="2">
        <v>53</v>
      </c>
      <c r="C10" s="2">
        <v>28</v>
      </c>
      <c r="D10" s="2">
        <v>-4</v>
      </c>
      <c r="E10" s="2">
        <v>-4</v>
      </c>
      <c r="F10" s="2">
        <v>2</v>
      </c>
      <c r="G10" s="2">
        <v>11</v>
      </c>
      <c r="H10" s="2">
        <v>3</v>
      </c>
      <c r="I10" s="2">
        <v>7</v>
      </c>
      <c r="J10" s="2">
        <v>32</v>
      </c>
      <c r="K10" s="2">
        <v>-53</v>
      </c>
      <c r="L10" s="2">
        <v>35</v>
      </c>
      <c r="M10" s="2">
        <v>44</v>
      </c>
      <c r="N10" s="2">
        <v>97</v>
      </c>
      <c r="O10" s="2">
        <v>30</v>
      </c>
      <c r="P10" s="2">
        <v>6</v>
      </c>
      <c r="Q10">
        <v>24</v>
      </c>
      <c r="R10">
        <v>-19</v>
      </c>
      <c r="S10">
        <v>-6</v>
      </c>
      <c r="T10">
        <v>16</v>
      </c>
      <c r="U10">
        <v>51</v>
      </c>
      <c r="V10" s="105">
        <v>1</v>
      </c>
    </row>
    <row r="11" spans="1:24" x14ac:dyDescent="0.25">
      <c r="A11" s="106">
        <v>9</v>
      </c>
      <c r="B11" s="2">
        <v>54</v>
      </c>
      <c r="C11" s="2">
        <v>29</v>
      </c>
      <c r="D11" s="2">
        <v>-3</v>
      </c>
      <c r="E11" s="2">
        <v>-3</v>
      </c>
      <c r="F11" s="2">
        <v>2</v>
      </c>
      <c r="G11" s="2">
        <v>11</v>
      </c>
      <c r="H11" s="2">
        <v>4</v>
      </c>
      <c r="I11" s="2">
        <v>8</v>
      </c>
      <c r="J11" s="2">
        <v>33</v>
      </c>
      <c r="K11" s="2">
        <v>-52</v>
      </c>
      <c r="L11" s="2">
        <v>36</v>
      </c>
      <c r="M11" s="2">
        <v>46</v>
      </c>
      <c r="N11" s="2">
        <v>98</v>
      </c>
      <c r="O11" s="2">
        <v>25</v>
      </c>
      <c r="P11" s="2">
        <v>7</v>
      </c>
      <c r="Q11">
        <v>22</v>
      </c>
      <c r="R11">
        <v>-18</v>
      </c>
      <c r="S11">
        <v>-4</v>
      </c>
      <c r="T11">
        <v>17</v>
      </c>
      <c r="U11">
        <v>52</v>
      </c>
      <c r="V11" s="105">
        <v>1</v>
      </c>
    </row>
    <row r="12" spans="1:24" x14ac:dyDescent="0.25">
      <c r="A12" s="106">
        <v>10</v>
      </c>
      <c r="B12" s="2">
        <v>55</v>
      </c>
      <c r="C12" s="2">
        <v>30</v>
      </c>
      <c r="D12" s="2">
        <v>-2</v>
      </c>
      <c r="E12" s="2">
        <v>-2</v>
      </c>
      <c r="F12" s="2">
        <v>2</v>
      </c>
      <c r="G12" s="2">
        <v>7</v>
      </c>
      <c r="H12" s="2">
        <v>5</v>
      </c>
      <c r="I12" s="2">
        <v>9</v>
      </c>
      <c r="J12" s="2">
        <v>34</v>
      </c>
      <c r="K12" s="2">
        <v>-51</v>
      </c>
      <c r="L12" s="2">
        <v>37</v>
      </c>
      <c r="M12" s="2">
        <v>48</v>
      </c>
      <c r="N12" s="2">
        <v>99</v>
      </c>
      <c r="O12" s="2">
        <v>20</v>
      </c>
      <c r="P12" s="2">
        <v>8</v>
      </c>
      <c r="Q12">
        <v>20</v>
      </c>
      <c r="R12">
        <v>-17</v>
      </c>
      <c r="S12">
        <v>-2</v>
      </c>
      <c r="T12">
        <v>18</v>
      </c>
      <c r="U12">
        <v>53</v>
      </c>
      <c r="V12" s="105">
        <v>1</v>
      </c>
    </row>
    <row r="13" spans="1:24" x14ac:dyDescent="0.25">
      <c r="A13" s="106">
        <v>11</v>
      </c>
      <c r="B13" s="2">
        <v>56</v>
      </c>
      <c r="C13" s="2">
        <v>31</v>
      </c>
      <c r="D13" s="2">
        <v>-1</v>
      </c>
      <c r="E13" s="2">
        <v>-1</v>
      </c>
      <c r="F13" s="2">
        <v>2</v>
      </c>
      <c r="G13" s="2">
        <v>7</v>
      </c>
      <c r="H13" s="2">
        <v>6</v>
      </c>
      <c r="I13" s="2">
        <v>10</v>
      </c>
      <c r="J13" s="2">
        <v>35</v>
      </c>
      <c r="K13" s="2">
        <v>-50</v>
      </c>
      <c r="L13" s="2">
        <v>38</v>
      </c>
      <c r="M13" s="2">
        <v>50</v>
      </c>
      <c r="N13" s="2">
        <v>100</v>
      </c>
      <c r="O13" s="2">
        <v>15</v>
      </c>
      <c r="P13" s="2">
        <v>9</v>
      </c>
      <c r="Q13">
        <v>18</v>
      </c>
      <c r="R13">
        <v>-16</v>
      </c>
      <c r="S13">
        <v>0</v>
      </c>
      <c r="T13">
        <v>19</v>
      </c>
      <c r="U13">
        <v>54</v>
      </c>
      <c r="V13" s="105">
        <v>1</v>
      </c>
    </row>
    <row r="14" spans="1:24" x14ac:dyDescent="0.25">
      <c r="A14" s="106">
        <v>12</v>
      </c>
      <c r="B14" s="2">
        <v>9</v>
      </c>
      <c r="C14" s="2">
        <v>2</v>
      </c>
      <c r="D14" s="2">
        <v>0</v>
      </c>
      <c r="E14" s="2">
        <v>0</v>
      </c>
      <c r="F14" s="2">
        <v>2</v>
      </c>
      <c r="G14" s="2">
        <v>7</v>
      </c>
      <c r="H14" s="2">
        <v>7</v>
      </c>
      <c r="I14" s="2">
        <v>11</v>
      </c>
      <c r="J14" s="2">
        <v>36</v>
      </c>
      <c r="K14" s="2">
        <v>-49</v>
      </c>
      <c r="L14" s="2">
        <v>39</v>
      </c>
      <c r="M14" s="2">
        <v>52</v>
      </c>
      <c r="N14" s="2">
        <v>101</v>
      </c>
      <c r="O14" s="2">
        <v>10</v>
      </c>
      <c r="P14" s="2">
        <v>10</v>
      </c>
      <c r="Q14">
        <v>16</v>
      </c>
      <c r="R14">
        <v>-15</v>
      </c>
      <c r="S14">
        <v>2</v>
      </c>
      <c r="T14">
        <v>20</v>
      </c>
      <c r="U14">
        <v>55</v>
      </c>
      <c r="V14" s="105">
        <v>1</v>
      </c>
    </row>
    <row r="15" spans="1:24" x14ac:dyDescent="0.25">
      <c r="A15" s="106">
        <v>13</v>
      </c>
      <c r="B15" s="2">
        <v>10</v>
      </c>
      <c r="C15" s="2">
        <v>3</v>
      </c>
      <c r="D15" s="2">
        <v>1</v>
      </c>
      <c r="E15" s="2">
        <v>1</v>
      </c>
      <c r="F15" s="2">
        <v>2</v>
      </c>
      <c r="G15" s="2">
        <v>7</v>
      </c>
      <c r="H15" s="2">
        <v>8</v>
      </c>
      <c r="I15" s="2">
        <v>12</v>
      </c>
      <c r="J15" s="2">
        <v>37</v>
      </c>
      <c r="K15" s="2">
        <v>-48</v>
      </c>
      <c r="L15" s="2">
        <v>40</v>
      </c>
      <c r="M15" s="2">
        <v>54</v>
      </c>
      <c r="N15" s="2">
        <v>102</v>
      </c>
      <c r="O15" s="2">
        <v>5</v>
      </c>
      <c r="P15" s="2">
        <v>11</v>
      </c>
      <c r="Q15">
        <v>14</v>
      </c>
      <c r="R15">
        <v>-14</v>
      </c>
      <c r="S15">
        <v>4</v>
      </c>
      <c r="T15">
        <v>21</v>
      </c>
      <c r="U15">
        <v>56</v>
      </c>
      <c r="V15" s="105">
        <v>1</v>
      </c>
    </row>
    <row r="16" spans="1:24" x14ac:dyDescent="0.25">
      <c r="A16" s="106">
        <v>14</v>
      </c>
      <c r="B16" s="2">
        <v>11</v>
      </c>
      <c r="C16" s="2">
        <v>4</v>
      </c>
      <c r="D16" s="2">
        <v>2</v>
      </c>
      <c r="E16" s="2">
        <v>2</v>
      </c>
      <c r="F16" s="2">
        <v>2</v>
      </c>
      <c r="G16" s="2">
        <v>7</v>
      </c>
      <c r="H16" s="2">
        <v>9</v>
      </c>
      <c r="I16" s="2">
        <v>13</v>
      </c>
      <c r="J16" s="2">
        <v>38</v>
      </c>
      <c r="K16" s="2">
        <v>-47</v>
      </c>
      <c r="L16" s="2">
        <v>41</v>
      </c>
      <c r="M16" s="2">
        <v>56</v>
      </c>
      <c r="N16" s="2">
        <v>103</v>
      </c>
      <c r="O16" s="2">
        <v>0</v>
      </c>
      <c r="P16" s="2">
        <v>12</v>
      </c>
      <c r="Q16">
        <v>12</v>
      </c>
      <c r="R16">
        <v>-13</v>
      </c>
      <c r="S16">
        <v>6</v>
      </c>
      <c r="T16">
        <v>22</v>
      </c>
      <c r="U16">
        <v>57</v>
      </c>
      <c r="V16" s="105">
        <v>1</v>
      </c>
    </row>
    <row r="17" spans="1:22" x14ac:dyDescent="0.25">
      <c r="A17" s="106">
        <v>15</v>
      </c>
      <c r="B17" s="2">
        <v>12</v>
      </c>
      <c r="C17" s="2">
        <v>5</v>
      </c>
      <c r="D17" s="2">
        <v>3</v>
      </c>
      <c r="E17" s="2">
        <v>3</v>
      </c>
      <c r="F17" s="2">
        <v>2</v>
      </c>
      <c r="G17" s="2">
        <v>7</v>
      </c>
      <c r="H17" s="2">
        <v>10</v>
      </c>
      <c r="I17" s="2">
        <v>14</v>
      </c>
      <c r="J17" s="2">
        <v>39</v>
      </c>
      <c r="K17" s="2">
        <v>-46</v>
      </c>
      <c r="L17" s="2">
        <v>42</v>
      </c>
      <c r="M17" s="2">
        <v>58</v>
      </c>
      <c r="N17" s="2">
        <v>104</v>
      </c>
      <c r="O17" s="2">
        <v>-5</v>
      </c>
      <c r="P17" s="2">
        <v>13</v>
      </c>
      <c r="Q17">
        <v>10</v>
      </c>
      <c r="R17">
        <v>-12</v>
      </c>
      <c r="S17">
        <v>8</v>
      </c>
      <c r="T17">
        <v>23</v>
      </c>
      <c r="U17">
        <v>58</v>
      </c>
      <c r="V17" s="105">
        <v>1</v>
      </c>
    </row>
    <row r="18" spans="1:22" x14ac:dyDescent="0.25">
      <c r="A18" s="106">
        <v>16</v>
      </c>
      <c r="B18" s="2">
        <v>13</v>
      </c>
      <c r="C18" s="2">
        <v>6</v>
      </c>
      <c r="D18" s="2">
        <v>4</v>
      </c>
      <c r="E18" s="2">
        <v>4</v>
      </c>
      <c r="F18" s="2">
        <v>2</v>
      </c>
      <c r="G18" s="2">
        <v>7</v>
      </c>
      <c r="H18" s="2">
        <v>11</v>
      </c>
      <c r="I18" s="2">
        <v>15</v>
      </c>
      <c r="J18" s="2">
        <v>40</v>
      </c>
      <c r="K18" s="2">
        <v>-45</v>
      </c>
      <c r="L18" s="2">
        <v>43</v>
      </c>
      <c r="M18" s="2">
        <v>60</v>
      </c>
      <c r="N18" s="2">
        <v>105</v>
      </c>
      <c r="O18" s="2">
        <v>-10</v>
      </c>
      <c r="P18" s="2">
        <v>-15</v>
      </c>
      <c r="Q18">
        <v>8</v>
      </c>
      <c r="R18">
        <v>-11</v>
      </c>
      <c r="S18">
        <v>10</v>
      </c>
      <c r="T18">
        <v>24</v>
      </c>
      <c r="U18">
        <v>59</v>
      </c>
      <c r="V18" s="105">
        <v>1</v>
      </c>
    </row>
    <row r="19" spans="1:22" x14ac:dyDescent="0.25">
      <c r="A19" s="106">
        <v>17</v>
      </c>
      <c r="B19" s="2">
        <v>14</v>
      </c>
      <c r="C19" s="2">
        <v>7</v>
      </c>
      <c r="D19" s="2">
        <v>5</v>
      </c>
      <c r="E19" s="2">
        <v>5</v>
      </c>
      <c r="F19" s="2">
        <v>2</v>
      </c>
      <c r="G19" s="2">
        <v>7</v>
      </c>
      <c r="H19" s="2">
        <v>12</v>
      </c>
      <c r="I19" s="2">
        <v>16</v>
      </c>
      <c r="J19" s="2">
        <v>41</v>
      </c>
      <c r="K19" s="2">
        <v>-44</v>
      </c>
      <c r="L19" s="2">
        <v>44</v>
      </c>
      <c r="M19" s="2">
        <v>62</v>
      </c>
      <c r="N19" s="2">
        <v>106</v>
      </c>
      <c r="O19" s="2">
        <v>-15</v>
      </c>
      <c r="P19" s="2">
        <v>-15</v>
      </c>
      <c r="Q19">
        <v>6</v>
      </c>
      <c r="R19">
        <v>-10</v>
      </c>
      <c r="S19">
        <v>12</v>
      </c>
      <c r="T19">
        <v>25</v>
      </c>
      <c r="U19">
        <v>60</v>
      </c>
      <c r="V19" s="105">
        <v>2</v>
      </c>
    </row>
    <row r="20" spans="1:22" x14ac:dyDescent="0.25">
      <c r="A20" s="106">
        <v>18</v>
      </c>
      <c r="B20" s="2">
        <v>15</v>
      </c>
      <c r="C20" s="2">
        <v>8</v>
      </c>
      <c r="D20" s="2">
        <v>6</v>
      </c>
      <c r="E20" s="2">
        <v>6</v>
      </c>
      <c r="F20" s="2">
        <v>2</v>
      </c>
      <c r="G20" s="2">
        <v>7</v>
      </c>
      <c r="H20" s="2">
        <v>13</v>
      </c>
      <c r="I20" s="2">
        <v>17</v>
      </c>
      <c r="J20" s="2">
        <v>42</v>
      </c>
      <c r="K20" s="2">
        <v>-43</v>
      </c>
      <c r="L20" s="2">
        <v>45</v>
      </c>
      <c r="M20" s="2">
        <v>64</v>
      </c>
      <c r="N20" s="2">
        <v>107</v>
      </c>
      <c r="O20" s="2">
        <v>-20</v>
      </c>
      <c r="P20" s="2">
        <v>-15</v>
      </c>
      <c r="Q20">
        <v>4</v>
      </c>
      <c r="R20">
        <v>-9</v>
      </c>
      <c r="S20">
        <v>14</v>
      </c>
      <c r="T20">
        <v>26</v>
      </c>
      <c r="U20">
        <v>61</v>
      </c>
      <c r="V20" s="105">
        <v>2</v>
      </c>
    </row>
    <row r="21" spans="1:22" x14ac:dyDescent="0.25">
      <c r="A21" s="106">
        <v>19</v>
      </c>
      <c r="B21" s="2">
        <v>16</v>
      </c>
      <c r="C21" s="2">
        <v>9</v>
      </c>
      <c r="D21" s="2">
        <v>7</v>
      </c>
      <c r="E21" s="2">
        <v>7</v>
      </c>
      <c r="F21" s="2">
        <v>2</v>
      </c>
      <c r="G21" s="2">
        <v>7</v>
      </c>
      <c r="H21" s="2">
        <v>14</v>
      </c>
      <c r="I21" s="2">
        <v>18</v>
      </c>
      <c r="J21" s="2">
        <v>43</v>
      </c>
      <c r="K21" s="2">
        <v>-42</v>
      </c>
      <c r="L21" s="2">
        <v>46</v>
      </c>
      <c r="M21" s="2">
        <v>40</v>
      </c>
      <c r="N21" s="2">
        <v>108</v>
      </c>
      <c r="O21" s="2">
        <v>-25</v>
      </c>
      <c r="P21" s="2">
        <v>-15</v>
      </c>
      <c r="Q21">
        <v>2</v>
      </c>
      <c r="R21">
        <v>-8</v>
      </c>
      <c r="S21">
        <v>16</v>
      </c>
      <c r="T21">
        <v>27</v>
      </c>
      <c r="U21">
        <v>62</v>
      </c>
      <c r="V21" s="105">
        <v>2</v>
      </c>
    </row>
    <row r="22" spans="1:22" x14ac:dyDescent="0.25">
      <c r="A22" s="106">
        <v>20</v>
      </c>
      <c r="B22" s="2">
        <v>17</v>
      </c>
      <c r="C22" s="2">
        <v>10</v>
      </c>
      <c r="D22" s="2">
        <v>8</v>
      </c>
      <c r="E22" s="2">
        <v>8</v>
      </c>
      <c r="F22" s="2">
        <v>2</v>
      </c>
      <c r="G22" s="2">
        <v>2</v>
      </c>
      <c r="H22" s="2">
        <v>15</v>
      </c>
      <c r="I22" s="2">
        <v>19</v>
      </c>
      <c r="J22" s="2">
        <v>44</v>
      </c>
      <c r="K22" s="2">
        <v>-41</v>
      </c>
      <c r="L22" s="2">
        <v>47</v>
      </c>
      <c r="M22" s="2">
        <v>16</v>
      </c>
      <c r="N22" s="2">
        <v>109</v>
      </c>
      <c r="O22" s="2">
        <v>-30</v>
      </c>
      <c r="P22" s="2">
        <v>-15</v>
      </c>
      <c r="Q22">
        <v>0</v>
      </c>
      <c r="R22">
        <v>-7</v>
      </c>
      <c r="S22">
        <v>18</v>
      </c>
      <c r="T22">
        <v>28</v>
      </c>
      <c r="U22">
        <v>63</v>
      </c>
      <c r="V22" s="105">
        <v>2</v>
      </c>
    </row>
    <row r="23" spans="1:22" x14ac:dyDescent="0.25">
      <c r="A23" s="106">
        <v>21</v>
      </c>
      <c r="B23" s="2">
        <v>18</v>
      </c>
      <c r="C23" s="2">
        <v>11</v>
      </c>
      <c r="D23" s="2">
        <v>9</v>
      </c>
      <c r="E23" s="2">
        <v>9</v>
      </c>
      <c r="F23" s="2">
        <v>2</v>
      </c>
      <c r="G23" s="2">
        <v>2</v>
      </c>
      <c r="H23" s="2">
        <v>16</v>
      </c>
      <c r="I23" s="2">
        <v>20</v>
      </c>
      <c r="J23" s="2">
        <v>45</v>
      </c>
      <c r="K23" s="2">
        <v>-40</v>
      </c>
      <c r="L23" s="2">
        <v>48</v>
      </c>
      <c r="M23" s="2">
        <v>-8</v>
      </c>
      <c r="N23" s="2">
        <v>110</v>
      </c>
      <c r="O23" s="2">
        <v>-35</v>
      </c>
      <c r="P23" s="2">
        <v>-15</v>
      </c>
      <c r="Q23">
        <v>-2</v>
      </c>
      <c r="R23">
        <v>-6</v>
      </c>
      <c r="S23">
        <v>20</v>
      </c>
      <c r="T23">
        <v>29</v>
      </c>
      <c r="U23">
        <v>64</v>
      </c>
      <c r="V23" s="105">
        <v>2</v>
      </c>
    </row>
    <row r="24" spans="1:22" x14ac:dyDescent="0.25">
      <c r="A24" s="106">
        <v>22</v>
      </c>
      <c r="B24" s="2">
        <v>19</v>
      </c>
      <c r="C24" s="2">
        <v>12</v>
      </c>
      <c r="D24" s="2">
        <v>10</v>
      </c>
      <c r="E24" s="2">
        <v>10</v>
      </c>
      <c r="F24" s="2">
        <v>2</v>
      </c>
      <c r="G24" s="2">
        <v>2</v>
      </c>
      <c r="H24" s="2">
        <v>17</v>
      </c>
      <c r="I24" s="2">
        <v>21</v>
      </c>
      <c r="J24" s="2">
        <v>46</v>
      </c>
      <c r="K24" s="2">
        <v>-39</v>
      </c>
      <c r="L24" s="2">
        <v>49</v>
      </c>
      <c r="M24" s="2">
        <v>-32</v>
      </c>
      <c r="N24" s="2">
        <v>111</v>
      </c>
      <c r="O24" s="2">
        <v>-40</v>
      </c>
      <c r="P24" s="2">
        <v>-15</v>
      </c>
      <c r="Q24">
        <v>-4</v>
      </c>
      <c r="R24">
        <v>-5</v>
      </c>
      <c r="S24">
        <v>22</v>
      </c>
      <c r="T24">
        <v>30</v>
      </c>
      <c r="U24">
        <v>65</v>
      </c>
      <c r="V24" s="105">
        <v>2</v>
      </c>
    </row>
    <row r="25" spans="1:22" x14ac:dyDescent="0.25">
      <c r="A25" s="106">
        <v>23</v>
      </c>
      <c r="B25" s="2">
        <v>20</v>
      </c>
      <c r="C25" s="2">
        <v>13</v>
      </c>
      <c r="D25" s="2">
        <v>11</v>
      </c>
      <c r="E25" s="2">
        <v>11</v>
      </c>
      <c r="F25" s="2">
        <v>2</v>
      </c>
      <c r="G25" s="2">
        <v>2</v>
      </c>
      <c r="H25" s="2">
        <v>18</v>
      </c>
      <c r="I25" s="2">
        <v>22</v>
      </c>
      <c r="J25" s="2">
        <v>47</v>
      </c>
      <c r="K25" s="2">
        <v>-38</v>
      </c>
      <c r="L25" s="2">
        <v>50</v>
      </c>
      <c r="M25" s="2">
        <v>-56</v>
      </c>
      <c r="N25" s="2">
        <v>112</v>
      </c>
      <c r="O25" s="2">
        <v>-45</v>
      </c>
      <c r="P25" s="2">
        <v>-15</v>
      </c>
      <c r="Q25">
        <v>-10</v>
      </c>
      <c r="R25">
        <v>-4</v>
      </c>
      <c r="S25">
        <v>24</v>
      </c>
      <c r="T25">
        <v>31</v>
      </c>
      <c r="U25">
        <v>66</v>
      </c>
      <c r="V25" s="105">
        <v>2</v>
      </c>
    </row>
    <row r="26" spans="1:22" x14ac:dyDescent="0.25">
      <c r="A26" s="106">
        <v>24</v>
      </c>
      <c r="B26" s="2">
        <v>21</v>
      </c>
      <c r="C26" s="2">
        <v>14</v>
      </c>
      <c r="D26" s="2">
        <v>12</v>
      </c>
      <c r="E26" s="2">
        <v>12</v>
      </c>
      <c r="F26" s="2">
        <v>2</v>
      </c>
      <c r="G26" s="2">
        <v>2</v>
      </c>
      <c r="H26" s="2">
        <v>19</v>
      </c>
      <c r="I26" s="2">
        <v>23</v>
      </c>
      <c r="J26" s="2">
        <v>48</v>
      </c>
      <c r="K26" s="2">
        <v>-37</v>
      </c>
      <c r="L26" s="2">
        <v>51</v>
      </c>
      <c r="M26" s="2">
        <v>-40</v>
      </c>
      <c r="N26" s="2">
        <v>113</v>
      </c>
      <c r="O26" s="2">
        <v>-50</v>
      </c>
      <c r="P26" s="2">
        <v>-15</v>
      </c>
      <c r="Q26">
        <v>-16</v>
      </c>
      <c r="R26">
        <v>-3</v>
      </c>
      <c r="S26">
        <v>26</v>
      </c>
      <c r="T26">
        <v>32</v>
      </c>
      <c r="U26">
        <v>67</v>
      </c>
      <c r="V26" s="105">
        <v>2</v>
      </c>
    </row>
    <row r="27" spans="1:22" x14ac:dyDescent="0.25">
      <c r="A27" s="106">
        <v>25</v>
      </c>
      <c r="B27" s="2">
        <v>22</v>
      </c>
      <c r="C27" s="2">
        <v>15</v>
      </c>
      <c r="D27" s="2">
        <v>13</v>
      </c>
      <c r="E27" s="2">
        <v>13</v>
      </c>
      <c r="F27" s="2">
        <v>2</v>
      </c>
      <c r="G27" s="2">
        <v>2</v>
      </c>
      <c r="H27" s="2">
        <v>20</v>
      </c>
      <c r="I27" s="2">
        <v>24</v>
      </c>
      <c r="J27" s="2">
        <v>49</v>
      </c>
      <c r="K27" s="2">
        <v>-36</v>
      </c>
      <c r="L27" s="2">
        <v>52</v>
      </c>
      <c r="M27" s="2">
        <v>-24</v>
      </c>
      <c r="N27" s="2">
        <v>114</v>
      </c>
      <c r="O27" s="2">
        <v>-55</v>
      </c>
      <c r="P27" s="2">
        <v>-15</v>
      </c>
      <c r="Q27">
        <v>-22</v>
      </c>
      <c r="R27">
        <v>-2</v>
      </c>
      <c r="S27">
        <v>28</v>
      </c>
      <c r="T27">
        <v>33</v>
      </c>
      <c r="U27">
        <v>68</v>
      </c>
      <c r="V27" s="105">
        <v>2</v>
      </c>
    </row>
    <row r="28" spans="1:22" x14ac:dyDescent="0.25">
      <c r="A28" s="106">
        <v>26</v>
      </c>
      <c r="B28" s="2">
        <v>23</v>
      </c>
      <c r="C28" s="2">
        <v>16</v>
      </c>
      <c r="D28" s="2">
        <v>14</v>
      </c>
      <c r="E28" s="2">
        <v>14</v>
      </c>
      <c r="F28" s="2">
        <v>2</v>
      </c>
      <c r="G28" s="2">
        <v>2</v>
      </c>
      <c r="H28" s="2">
        <v>21</v>
      </c>
      <c r="I28" s="2">
        <v>25</v>
      </c>
      <c r="J28" s="2">
        <v>50</v>
      </c>
      <c r="K28" s="2">
        <v>-35</v>
      </c>
      <c r="L28" s="2">
        <v>53</v>
      </c>
      <c r="M28" s="2">
        <v>-8</v>
      </c>
      <c r="N28" s="2">
        <v>115</v>
      </c>
      <c r="O28" s="2">
        <v>-61</v>
      </c>
      <c r="P28" s="2">
        <v>-15</v>
      </c>
      <c r="Q28">
        <v>-28</v>
      </c>
      <c r="R28">
        <v>-1</v>
      </c>
      <c r="S28">
        <v>30</v>
      </c>
      <c r="T28">
        <v>34</v>
      </c>
      <c r="U28">
        <v>69</v>
      </c>
      <c r="V28" s="105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0299C-993E-43E4-BF91-3CCDA99C8046}">
  <dimension ref="A1:X999"/>
  <sheetViews>
    <sheetView zoomScale="104" zoomScaleNormal="100" workbookViewId="0">
      <selection activeCell="Q31" sqref="Q31"/>
    </sheetView>
  </sheetViews>
  <sheetFormatPr defaultRowHeight="15" x14ac:dyDescent="0.25"/>
  <cols>
    <col min="1" max="1" width="8.85546875" style="1"/>
    <col min="2" max="2" width="9.85546875" style="105" customWidth="1"/>
    <col min="3" max="3" width="11" style="2" customWidth="1"/>
    <col min="4" max="4" width="10.28515625" style="105" customWidth="1"/>
    <col min="5" max="5" width="9.5703125" style="2" customWidth="1"/>
    <col min="6" max="6" width="11" style="2" customWidth="1"/>
    <col min="7" max="7" width="9.7109375" style="2" customWidth="1"/>
    <col min="8" max="8" width="12" style="2" bestFit="1" customWidth="1"/>
    <col min="9" max="9" width="13.28515625" style="2" bestFit="1" customWidth="1"/>
    <col min="10" max="10" width="11.28515625" style="2" customWidth="1"/>
    <col min="11" max="11" width="13.28515625" bestFit="1" customWidth="1"/>
    <col min="12" max="12" width="11.85546875" customWidth="1"/>
    <col min="13" max="13" width="16" bestFit="1" customWidth="1"/>
    <col min="14" max="14" width="11.7109375" customWidth="1"/>
    <col min="15" max="15" width="15.7109375" customWidth="1"/>
    <col min="16" max="16" width="12.85546875" customWidth="1"/>
    <col min="17" max="17" width="13.42578125" customWidth="1"/>
    <col min="18" max="18" width="13" customWidth="1"/>
    <col min="19" max="19" width="13.5703125" customWidth="1"/>
    <col min="20" max="20" width="12.42578125" customWidth="1"/>
    <col min="21" max="21" width="13.5703125" customWidth="1"/>
    <col min="22" max="22" width="11.42578125" customWidth="1"/>
    <col min="23" max="23" width="11.5703125" customWidth="1"/>
    <col min="24" max="24" width="11.85546875" customWidth="1"/>
  </cols>
  <sheetData>
    <row r="1" spans="1:24" s="1" customFormat="1" ht="51" customHeight="1" x14ac:dyDescent="0.25">
      <c r="A1" s="3" t="s">
        <v>146</v>
      </c>
      <c r="B1" s="4" t="s">
        <v>100</v>
      </c>
      <c r="C1" s="4" t="s">
        <v>101</v>
      </c>
      <c r="D1" s="4" t="s">
        <v>102</v>
      </c>
      <c r="E1" s="4" t="s">
        <v>103</v>
      </c>
      <c r="F1" s="4" t="s">
        <v>104</v>
      </c>
      <c r="G1" s="4" t="s">
        <v>105</v>
      </c>
      <c r="H1" s="4" t="s">
        <v>106</v>
      </c>
      <c r="I1" s="4" t="s">
        <v>107</v>
      </c>
      <c r="J1" s="4" t="s">
        <v>108</v>
      </c>
      <c r="K1" s="4" t="s">
        <v>109</v>
      </c>
      <c r="L1" s="4" t="s">
        <v>110</v>
      </c>
      <c r="M1" s="3" t="s">
        <v>111</v>
      </c>
      <c r="N1" s="4" t="s">
        <v>112</v>
      </c>
      <c r="O1" s="3" t="s">
        <v>113</v>
      </c>
      <c r="P1" s="4" t="s">
        <v>114</v>
      </c>
      <c r="Q1" s="104" t="s">
        <v>115</v>
      </c>
      <c r="R1" s="4" t="s">
        <v>116</v>
      </c>
      <c r="S1" s="104" t="s">
        <v>117</v>
      </c>
      <c r="T1" s="4" t="s">
        <v>118</v>
      </c>
      <c r="U1" s="4" t="s">
        <v>119</v>
      </c>
      <c r="V1" s="4" t="s">
        <v>120</v>
      </c>
      <c r="W1" s="3" t="s">
        <v>121</v>
      </c>
      <c r="X1" s="3" t="s">
        <v>122</v>
      </c>
    </row>
    <row r="2" spans="1:24" s="1" customFormat="1" ht="51" customHeight="1" x14ac:dyDescent="0.25">
      <c r="A2" s="3" t="s">
        <v>99</v>
      </c>
      <c r="B2" s="3"/>
      <c r="C2" s="3"/>
      <c r="D2" s="2"/>
      <c r="E2" s="3"/>
      <c r="F2" s="3"/>
      <c r="G2" s="2"/>
      <c r="H2" s="2"/>
      <c r="I2" s="2"/>
      <c r="J2" s="2"/>
    </row>
    <row r="3" spans="1:24" x14ac:dyDescent="0.25">
      <c r="A3" s="106">
        <f>Angles!A3</f>
        <v>1</v>
      </c>
      <c r="B3" s="105">
        <f>IF(A3=0,"", IF(AND(Angles!B3&gt;=-45, Angles!B3&lt;=45), 0, 1))</f>
        <v>1</v>
      </c>
      <c r="C3" s="2">
        <f>IF(A3=0,"",IF(Angles!C3&gt;=0,IF(Angles!C3&lt;=20,1,2),2))</f>
        <v>2</v>
      </c>
      <c r="D3" s="105">
        <f>IF(A3=0,"", IF(AND(Angles!D3&gt;=-10, Angles!D3&lt;=10), 0, 1))</f>
        <v>1</v>
      </c>
      <c r="E3" s="2">
        <f>IF(A3=0,"", IF(AND(Angles!E3&gt;=-10, Angles!E3&lt;=10), 0, 1))</f>
        <v>1</v>
      </c>
      <c r="F3" s="105">
        <f>IF(A3=0,"", IF(Angles!F3&lt;0, 2, IF(Angles!F3&lt;=20, 1, IF(Angles!F3&lt;=60, 2, 3))))</f>
        <v>3</v>
      </c>
      <c r="G3" s="2">
        <f>IF(A3=0,"",IF(AND(Angles!G3&gt;=-10,Angles!G3&lt;=10),0,1))</f>
        <v>1</v>
      </c>
      <c r="H3" s="105">
        <f>IF(A3=0,"",IF(Angles!H3&lt;-20,2,IF(Angles!H3&lt;=20,1,IF(Angles!H3&lt;=60,2,IF(Angles!H3&lt;=90,3,4)))))</f>
        <v>4</v>
      </c>
      <c r="I3" s="2">
        <f>IF(A3=0,"",IF(AND(Angles!I3&gt;=-60,Angles!I3&lt;=60),0,1))</f>
        <v>1</v>
      </c>
      <c r="J3" s="105">
        <f>IF(A3=0,"",IF(Angles!J3&lt;-20,2,IF(Angles!J3&lt;=20,1,IF(Angles!J3&lt;=60,2,IF(Angles!J3&lt;=90,3,4)))))</f>
        <v>2</v>
      </c>
      <c r="K3" s="2">
        <f>IF(A3=0,"",IF(AND(Angles!K3&gt;=-60,Angles!K3&lt;=60),0,1))</f>
        <v>1</v>
      </c>
      <c r="L3" s="105">
        <f>IF(A3=0,"",IF(AND(Angles!L3&gt;=30,Angles!L3&lt;=170),1,2))</f>
        <v>2</v>
      </c>
      <c r="M3" s="2">
        <f>IF(A3=0,"",IF(AND(Angles!M3&gt;=-60,Angles!M3&lt;=60),0,1))</f>
        <v>0</v>
      </c>
      <c r="N3" s="105">
        <f>IF(A3=0,"",IF(AND(Angles!N3&gt;=30,Angles!N3&lt;=170),1,2))</f>
        <v>1</v>
      </c>
      <c r="O3" s="2">
        <f>IF($A$3=0,"",IF(AND(Angles!O3&gt;=-60,Angles!O3&lt;=60),0,1))</f>
        <v>1</v>
      </c>
      <c r="P3" s="2">
        <f>IF(A3=0,"",IF(AND(Angles!P3&gt;=-15,Angles!P3&lt;=15),1,2))</f>
        <v>2</v>
      </c>
      <c r="Q3" s="2">
        <f>IF($A$3=0,"",IF(AND(Angles!Q3&gt;=-15,Angles!Q3&lt;=24),0,1))</f>
        <v>0</v>
      </c>
      <c r="R3" s="2">
        <f>IF(A3=0,"",IF(AND(Angles!R3&gt;=-15,Angles!R3&lt;=15),1,2))</f>
        <v>2</v>
      </c>
      <c r="S3" s="2">
        <f>IF($A$3=0,"",IF(AND(Angles!S3&gt;=-15,Angles!S3&lt;=24),0,1))</f>
        <v>1</v>
      </c>
      <c r="T3" s="2">
        <f>IF(A3=0,"",IF(Angles!T3&lt;=30,0,IF(Angles!T3&lt;=60,1,2)))</f>
        <v>2</v>
      </c>
      <c r="U3" s="2">
        <f>IF(A3=0,"",IF(Angles!U3&lt;=30,0,IF(Angles!U3&lt;=60,1,2)))</f>
        <v>0</v>
      </c>
      <c r="V3" s="105">
        <v>2</v>
      </c>
    </row>
    <row r="4" spans="1:24" x14ac:dyDescent="0.25">
      <c r="A4" s="106">
        <f>Angles!A4</f>
        <v>2</v>
      </c>
      <c r="B4" s="105">
        <f>IF(A4=0,"", IF(AND(Angles!B4&gt;=-45, Angles!B4&lt;=45), 0, 1))</f>
        <v>1</v>
      </c>
      <c r="C4" s="2">
        <f>IF(A4=0,"",IF(Angles!C4&gt;=0,IF(Angles!C4&lt;=20,1,2),2))</f>
        <v>2</v>
      </c>
      <c r="D4" s="105">
        <f>IF(A4=0,"", IF(AND(Angles!D4&gt;=-10, Angles!D4&lt;=10), 0, 1))</f>
        <v>0</v>
      </c>
      <c r="E4" s="2">
        <f>IF(A4=0,"", IF(AND(Angles!E4&gt;=-10, Angles!E4&lt;=10), 0, 1))</f>
        <v>0</v>
      </c>
      <c r="F4" s="105">
        <f>IF(A4=0,"", IF(Angles!F4&lt;0, 2, IF(Angles!F4&lt;=20, 1, IF(Angles!F4&lt;=60, 2, 3))))</f>
        <v>3</v>
      </c>
      <c r="G4" s="2">
        <f>IF(A4=0,"",IF(AND(Angles!G4&gt;=-10,Angles!G4&lt;=10),0,1))</f>
        <v>1</v>
      </c>
      <c r="H4" s="105">
        <f>IF(A4=0,"",IF(Angles!H4&lt;-20,2,IF(Angles!H4&lt;=20,1,IF(Angles!H4&lt;=60,2,IF(Angles!H4&lt;=90,3,4)))))</f>
        <v>4</v>
      </c>
      <c r="I4" s="2">
        <f>IF(A4=0,"",IF(AND(Angles!I4&gt;=-60,Angles!I4&lt;=60),0,1))</f>
        <v>0</v>
      </c>
      <c r="J4" s="105">
        <f>IF(A4=0,"",IF(Angles!J4&lt;-20,2,IF(Angles!J4&lt;=20,1,IF(Angles!J4&lt;=60,2,IF(Angles!J4&lt;=90,3,4)))))</f>
        <v>2</v>
      </c>
      <c r="K4" s="2">
        <f>IF(A4=0,"",IF(AND(Angles!K4&gt;=-60,Angles!K4&lt;=60),0,1))</f>
        <v>0</v>
      </c>
      <c r="L4" s="105">
        <f>IF(A4=0,"",IF(AND(Angles!L4&gt;=30,Angles!L4&lt;=170),1,2))</f>
        <v>2</v>
      </c>
      <c r="M4" s="2">
        <f>IF($A$3=0,"",IF(AND(Angles!M4&gt;=-60,Angles!M4&lt;=60),0,1))</f>
        <v>0</v>
      </c>
      <c r="N4" s="105">
        <f>IF(A4=0,"",IF(AND(Angles!N4&gt;=30,Angles!N4&lt;=170),1,2))</f>
        <v>1</v>
      </c>
      <c r="O4" s="2">
        <f>IF($A$3=0,"",IF(AND(Angles!O4&gt;=-60,Angles!O4&lt;=60),0,1))</f>
        <v>0</v>
      </c>
      <c r="P4" s="2">
        <f>IF(A4=0,"",IF(AND(Angles!P4&gt;=-15,Angles!P4&lt;=15),1,2))</f>
        <v>1</v>
      </c>
      <c r="Q4" s="2">
        <f>IF($A$3=0,"",IF(AND(Angles!Q4&gt;=-15,Angles!Q4&lt;=24),0,1))</f>
        <v>0</v>
      </c>
      <c r="R4" s="2">
        <f>IF(A4=0,"",IF(AND(Angles!R4&gt;=-15,Angles!R4&lt;=15),1,2))</f>
        <v>2</v>
      </c>
      <c r="S4" s="2">
        <f>IF($A$3=0,"",IF(AND(Angles!S4&gt;=-15,Angles!S4&lt;=24),0,1))</f>
        <v>1</v>
      </c>
      <c r="T4" s="2">
        <f>IF(A4=0,"",IF(Angles!T4&lt;=30,0,IF(Angles!T4&lt;=60,1,2)))</f>
        <v>0</v>
      </c>
      <c r="U4" s="2">
        <f>IF(A4=0,"",IF(Angles!U4&lt;=30,0,IF(Angles!U4&lt;=60,1,2)))</f>
        <v>1</v>
      </c>
      <c r="V4" s="105">
        <v>2</v>
      </c>
    </row>
    <row r="5" spans="1:24" x14ac:dyDescent="0.25">
      <c r="A5" s="106">
        <f>Angles!A5</f>
        <v>3</v>
      </c>
      <c r="B5" s="105">
        <f>IF(A5=0,"", IF(AND(Angles!B5&gt;=-45, Angles!B5&lt;=45), 0, 1))</f>
        <v>1</v>
      </c>
      <c r="C5" s="2">
        <f>IF(A5=0,"",IF(Angles!C5&gt;=0,IF(Angles!C5&lt;=20,1,2),2))</f>
        <v>2</v>
      </c>
      <c r="D5" s="105">
        <f>IF(A5=0,"", IF(AND(Angles!D5&gt;=-10, Angles!D5&lt;=10), 0, 1))</f>
        <v>0</v>
      </c>
      <c r="E5" s="2">
        <f>IF(A5=0,"", IF(AND(Angles!E5&gt;=-10, Angles!E5&lt;=10), 0, 1))</f>
        <v>0</v>
      </c>
      <c r="F5" s="105">
        <f>IF(A5=0,"", IF(Angles!F5&lt;0, 2, IF(Angles!F5&lt;=20, 1, IF(Angles!F5&lt;=60, 2, 3))))</f>
        <v>3</v>
      </c>
      <c r="G5" s="2">
        <f>IF(A5=0,"",IF(AND(Angles!G5&gt;=-10,Angles!G5&lt;=10),0,1))</f>
        <v>1</v>
      </c>
      <c r="H5" s="105">
        <f>IF(A5=0,"",IF(Angles!H5&lt;-20,2,IF(Angles!H5&lt;=20,1,IF(Angles!H5&lt;=60,2,IF(Angles!H5&lt;=90,3,4)))))</f>
        <v>4</v>
      </c>
      <c r="I5" s="2">
        <f>IF(A5=0,"",IF(AND(Angles!I5&gt;=-60,Angles!I5&lt;=60),0,1))</f>
        <v>0</v>
      </c>
      <c r="J5" s="105">
        <f>IF(A5=0,"",IF(Angles!J5&lt;-20,2,IF(Angles!J5&lt;=20,1,IF(Angles!J5&lt;=60,2,IF(Angles!J5&lt;=90,3,4)))))</f>
        <v>2</v>
      </c>
      <c r="K5" s="2">
        <f>IF(A5=0,"",IF(AND(Angles!K5&gt;=-60,Angles!K5&lt;=60),0,1))</f>
        <v>0</v>
      </c>
      <c r="L5" s="105">
        <f>IF(A5=0,"",IF(AND(Angles!L5&gt;=30,Angles!L5&lt;=170),1,2))</f>
        <v>1</v>
      </c>
      <c r="M5" s="2">
        <f>IF($A$3=0,"",IF(AND(Angles!M5&gt;=-60,Angles!M5&lt;=60),0,1))</f>
        <v>0</v>
      </c>
      <c r="N5" s="105">
        <f>IF(A5=0,"",IF(AND(Angles!N5&gt;=30,Angles!N5&lt;=170),1,2))</f>
        <v>1</v>
      </c>
      <c r="O5" s="2">
        <f>IF($A$3=0,"",IF(AND(Angles!O5&gt;=-60,Angles!O5&lt;=60),0,1))</f>
        <v>0</v>
      </c>
      <c r="P5" s="2">
        <f>IF(A5=0,"",IF(AND(Angles!P5&gt;=-15,Angles!P5&lt;=15),1,2))</f>
        <v>1</v>
      </c>
      <c r="Q5" s="2">
        <f>IF($A$3=0,"",IF(AND(Angles!Q5&gt;=-15,Angles!Q5&lt;=24),0,1))</f>
        <v>0</v>
      </c>
      <c r="R5" s="2">
        <f>IF(A5=0,"",IF(AND(Angles!R5&gt;=-15,Angles!R5&lt;=15),1,2))</f>
        <v>2</v>
      </c>
      <c r="S5" s="2">
        <f>IF($A$3=0,"",IF(AND(Angles!S5&gt;=-15,Angles!S5&lt;=24),0,1))</f>
        <v>1</v>
      </c>
      <c r="T5" s="2">
        <f>IF(A5=0,"",IF(Angles!T5&lt;=30,0,IF(Angles!T5&lt;=60,1,2)))</f>
        <v>0</v>
      </c>
      <c r="U5" s="2">
        <f>IF(A5=0,"",IF(Angles!U5&lt;=30,0,IF(Angles!U5&lt;=60,1,2)))</f>
        <v>1</v>
      </c>
      <c r="V5" s="105">
        <v>2</v>
      </c>
    </row>
    <row r="6" spans="1:24" x14ac:dyDescent="0.25">
      <c r="A6" s="106">
        <f>Angles!A6</f>
        <v>4</v>
      </c>
      <c r="B6" s="105">
        <f>IF(A6=0,"", IF(AND(Angles!B6&gt;=-45, Angles!B6&lt;=45), 0, 1))</f>
        <v>1</v>
      </c>
      <c r="C6" s="2">
        <f>IF(A6=0,"",IF(Angles!C6&gt;=0,IF(Angles!C6&lt;=20,1,2),2))</f>
        <v>2</v>
      </c>
      <c r="D6" s="105">
        <f>IF(A6=0,"", IF(AND(Angles!D6&gt;=-10, Angles!D6&lt;=10), 0, 1))</f>
        <v>0</v>
      </c>
      <c r="E6" s="2">
        <f>IF(A6=0,"", IF(AND(Angles!E6&gt;=-10, Angles!E6&lt;=10), 0, 1))</f>
        <v>0</v>
      </c>
      <c r="F6" s="105">
        <f>IF(A6=0,"", IF(Angles!F6&lt;0, 2, IF(Angles!F6&lt;=20, 1, IF(Angles!F6&lt;=60, 2, 3))))</f>
        <v>3</v>
      </c>
      <c r="G6" s="2">
        <f>IF(A6=0,"",IF(AND(Angles!G6&gt;=-10,Angles!G6&lt;=10),0,1))</f>
        <v>1</v>
      </c>
      <c r="H6" s="105">
        <f>IF(A6=0,"",IF(Angles!H6&lt;-20,2,IF(Angles!H6&lt;=20,1,IF(Angles!H6&lt;=60,2,IF(Angles!H6&lt;=90,3,4)))))</f>
        <v>4</v>
      </c>
      <c r="I6" s="2">
        <f>IF(A6=0,"",IF(AND(Angles!I6&gt;=-60,Angles!I6&lt;=60),0,1))</f>
        <v>0</v>
      </c>
      <c r="J6" s="105">
        <f>IF(A6=0,"",IF(Angles!J6&lt;-20,2,IF(Angles!J6&lt;=20,1,IF(Angles!J6&lt;=60,2,IF(Angles!J6&lt;=90,3,4)))))</f>
        <v>2</v>
      </c>
      <c r="K6" s="2">
        <f>IF(A6=0,"",IF(AND(Angles!K6&gt;=-60,Angles!K6&lt;=60),0,1))</f>
        <v>0</v>
      </c>
      <c r="L6" s="105">
        <f>IF(A6=0,"",IF(AND(Angles!L6&gt;=30,Angles!L6&lt;=170),1,2))</f>
        <v>1</v>
      </c>
      <c r="M6" s="2">
        <f>IF($A$3=0,"",IF(AND(Angles!M6&gt;=-60,Angles!M6&lt;=60),0,1))</f>
        <v>0</v>
      </c>
      <c r="N6" s="105">
        <f>IF(A6=0,"",IF(AND(Angles!N6&gt;=30,Angles!N6&lt;=170),1,2))</f>
        <v>1</v>
      </c>
      <c r="O6" s="2">
        <f>IF($A$3=0,"",IF(AND(Angles!O6&gt;=-60,Angles!O6&lt;=60),0,1))</f>
        <v>0</v>
      </c>
      <c r="P6" s="2">
        <f>IF(A6=0,"",IF(AND(Angles!P6&gt;=-15,Angles!P6&lt;=15),1,2))</f>
        <v>1</v>
      </c>
      <c r="Q6" s="2">
        <f>IF($A$3=0,"",IF(AND(Angles!Q6&gt;=-15,Angles!Q6&lt;=24),0,1))</f>
        <v>0</v>
      </c>
      <c r="R6" s="2">
        <f>IF(A6=0,"",IF(AND(Angles!R6&gt;=-15,Angles!R6&lt;=15),1,2))</f>
        <v>2</v>
      </c>
      <c r="S6" s="2">
        <f>IF($A$3=0,"",IF(AND(Angles!S6&gt;=-15,Angles!S6&lt;=24),0,1))</f>
        <v>0</v>
      </c>
      <c r="T6" s="2">
        <f>IF(A6=0,"",IF(Angles!T6&lt;=30,0,IF(Angles!T6&lt;=60,1,2)))</f>
        <v>0</v>
      </c>
      <c r="U6" s="2">
        <f>IF(A6=0,"",IF(Angles!U6&lt;=30,0,IF(Angles!U6&lt;=60,1,2)))</f>
        <v>1</v>
      </c>
      <c r="V6" s="105">
        <v>2</v>
      </c>
    </row>
    <row r="7" spans="1:24" x14ac:dyDescent="0.25">
      <c r="A7" s="106">
        <f>Angles!A7</f>
        <v>5</v>
      </c>
      <c r="B7" s="105">
        <f>IF(A7=0,"", IF(AND(Angles!B7&gt;=-45, Angles!B7&lt;=45), 0, 1))</f>
        <v>1</v>
      </c>
      <c r="C7" s="2">
        <f>IF(A7=0,"",IF(Angles!C7&gt;=0,IF(Angles!C7&lt;=20,1,2),2))</f>
        <v>2</v>
      </c>
      <c r="D7" s="105">
        <f>IF(A7=0,"", IF(AND(Angles!D7&gt;=-10, Angles!D7&lt;=10), 0, 1))</f>
        <v>0</v>
      </c>
      <c r="E7" s="2">
        <f>IF(A7=0,"", IF(AND(Angles!E7&gt;=-10, Angles!E7&lt;=10), 0, 1))</f>
        <v>0</v>
      </c>
      <c r="F7" s="105">
        <f>IF(A7=0,"", IF(Angles!F7&lt;0, 2, IF(Angles!F7&lt;=20, 1, IF(Angles!F7&lt;=60, 2, 3))))</f>
        <v>3</v>
      </c>
      <c r="G7" s="2">
        <f>IF(A7=0,"",IF(AND(Angles!G7&gt;=-10,Angles!G7&lt;=10),0,1))</f>
        <v>1</v>
      </c>
      <c r="H7" s="105">
        <f>IF(A7=0,"",IF(Angles!H7&lt;-20,2,IF(Angles!H7&lt;=20,1,IF(Angles!H7&lt;=60,2,IF(Angles!H7&lt;=90,3,4)))))</f>
        <v>4</v>
      </c>
      <c r="I7" s="2">
        <f>IF(A7=0,"",IF(AND(Angles!I7&gt;=-60,Angles!I7&lt;=60),0,1))</f>
        <v>0</v>
      </c>
      <c r="J7" s="105">
        <f>IF(A7=0,"",IF(Angles!J7&lt;-20,2,IF(Angles!J7&lt;=20,1,IF(Angles!J7&lt;=60,2,IF(Angles!J7&lt;=90,3,4)))))</f>
        <v>2</v>
      </c>
      <c r="K7" s="2">
        <f>IF(A7=0,"",IF(AND(Angles!K7&gt;=-60,Angles!K7&lt;=60),0,1))</f>
        <v>0</v>
      </c>
      <c r="L7" s="105">
        <f>IF(A7=0,"",IF(AND(Angles!L7&gt;=30,Angles!L7&lt;=170),1,2))</f>
        <v>1</v>
      </c>
      <c r="M7" s="2">
        <f>IF($A$3=0,"",IF(AND(Angles!M7&gt;=-60,Angles!M7&lt;=60),0,1))</f>
        <v>0</v>
      </c>
      <c r="N7" s="105">
        <f>IF(A7=0,"",IF(AND(Angles!N7&gt;=30,Angles!N7&lt;=170),1,2))</f>
        <v>1</v>
      </c>
      <c r="O7" s="2">
        <f>IF($A$3=0,"",IF(AND(Angles!O7&gt;=-60,Angles!O7&lt;=60),0,1))</f>
        <v>0</v>
      </c>
      <c r="P7" s="2">
        <f>IF(A7=0,"",IF(AND(Angles!P7&gt;=-15,Angles!P7&lt;=15),1,2))</f>
        <v>1</v>
      </c>
      <c r="Q7" s="2">
        <f>IF($A$3=0,"",IF(AND(Angles!Q7&gt;=-15,Angles!Q7&lt;=24),0,1))</f>
        <v>0</v>
      </c>
      <c r="R7" s="2">
        <f>IF(A7=0,"",IF(AND(Angles!R7&gt;=-15,Angles!R7&lt;=15),1,2))</f>
        <v>2</v>
      </c>
      <c r="S7" s="2">
        <f>IF($A$3=0,"",IF(AND(Angles!S7&gt;=-15,Angles!S7&lt;=24),0,1))</f>
        <v>0</v>
      </c>
      <c r="T7" s="2">
        <f>IF(A7=0,"",IF(Angles!T7&lt;=30,0,IF(Angles!T7&lt;=60,1,2)))</f>
        <v>0</v>
      </c>
      <c r="U7" s="2">
        <f>IF(A7=0,"",IF(Angles!U7&lt;=30,0,IF(Angles!U7&lt;=60,1,2)))</f>
        <v>1</v>
      </c>
      <c r="V7" s="105">
        <v>1</v>
      </c>
    </row>
    <row r="8" spans="1:24" x14ac:dyDescent="0.25">
      <c r="A8" s="106">
        <f>Angles!A8</f>
        <v>6</v>
      </c>
      <c r="B8" s="105">
        <f>IF(A8=0,"", IF(AND(Angles!B8&gt;=-45, Angles!B8&lt;=45), 0, 1))</f>
        <v>1</v>
      </c>
      <c r="C8" s="2">
        <f>IF(A8=0,"",IF(Angles!C8&gt;=0,IF(Angles!C8&lt;=20,1,2),2))</f>
        <v>2</v>
      </c>
      <c r="D8" s="105">
        <f>IF(A8=0,"", IF(AND(Angles!D8&gt;=-10, Angles!D8&lt;=10), 0, 1))</f>
        <v>0</v>
      </c>
      <c r="E8" s="2">
        <f>IF(A8=0,"", IF(AND(Angles!E8&gt;=-10, Angles!E8&lt;=10), 0, 1))</f>
        <v>0</v>
      </c>
      <c r="F8" s="105">
        <f>IF(A8=0,"", IF(Angles!F8&lt;0, 2, IF(Angles!F8&lt;=20, 1, IF(Angles!F8&lt;=60, 2, 3))))</f>
        <v>1</v>
      </c>
      <c r="G8" s="2">
        <f>IF(A8=0,"",IF(AND(Angles!G8&gt;=-10,Angles!G8&lt;=10),0,1))</f>
        <v>1</v>
      </c>
      <c r="H8" s="105">
        <f>IF(A8=0,"",IF(Angles!H8&lt;-20,2,IF(Angles!H8&lt;=20,1,IF(Angles!H8&lt;=60,2,IF(Angles!H8&lt;=90,3,4)))))</f>
        <v>1</v>
      </c>
      <c r="I8" s="2">
        <f>IF(A8=0,"",IF(AND(Angles!I8&gt;=-60,Angles!I8&lt;=60),0,1))</f>
        <v>0</v>
      </c>
      <c r="J8" s="105">
        <f>IF(A8=0,"",IF(Angles!J8&lt;-20,2,IF(Angles!J8&lt;=20,1,IF(Angles!J8&lt;=60,2,IF(Angles!J8&lt;=90,3,4)))))</f>
        <v>2</v>
      </c>
      <c r="K8" s="2">
        <f>IF(A8=0,"",IF(AND(Angles!K8&gt;=-60,Angles!K8&lt;=60),0,1))</f>
        <v>0</v>
      </c>
      <c r="L8" s="105">
        <f>IF(A8=0,"",IF(AND(Angles!L8&gt;=30,Angles!L8&lt;=170),1,2))</f>
        <v>1</v>
      </c>
      <c r="M8" s="2">
        <f>IF($A$3=0,"",IF(AND(Angles!M8&gt;=-60,Angles!M8&lt;=60),0,1))</f>
        <v>0</v>
      </c>
      <c r="N8" s="105">
        <f>IF(A8=0,"",IF(AND(Angles!N8&gt;=30,Angles!N8&lt;=170),1,2))</f>
        <v>1</v>
      </c>
      <c r="O8" s="2">
        <f>IF($A$3=0,"",IF(AND(Angles!O8&gt;=-60,Angles!O8&lt;=60),0,1))</f>
        <v>0</v>
      </c>
      <c r="P8" s="2">
        <f>IF(A8=0,"",IF(AND(Angles!P8&gt;=-15,Angles!P8&lt;=15),1,2))</f>
        <v>1</v>
      </c>
      <c r="Q8" s="2">
        <f>IF($A$3=0,"",IF(AND(Angles!Q8&gt;=-15,Angles!Q8&lt;=24),0,1))</f>
        <v>0</v>
      </c>
      <c r="R8" s="2">
        <f>IF(A8=0,"",IF(AND(Angles!R8&gt;=-15,Angles!R8&lt;=15),1,2))</f>
        <v>2</v>
      </c>
      <c r="S8" s="2">
        <f>IF($A$3=0,"",IF(AND(Angles!S8&gt;=-15,Angles!S8&lt;=24),0,1))</f>
        <v>0</v>
      </c>
      <c r="T8" s="2">
        <f>IF(A8=0,"",IF(Angles!T8&lt;=30,0,IF(Angles!T8&lt;=60,1,2)))</f>
        <v>0</v>
      </c>
      <c r="U8" s="2">
        <f>IF(A8=0,"",IF(Angles!U8&lt;=30,0,IF(Angles!U8&lt;=60,1,2)))</f>
        <v>1</v>
      </c>
      <c r="V8" s="105">
        <v>1</v>
      </c>
    </row>
    <row r="9" spans="1:24" x14ac:dyDescent="0.25">
      <c r="A9" s="106">
        <f>Angles!A9</f>
        <v>7</v>
      </c>
      <c r="B9" s="105">
        <f>IF(A9=0,"", IF(AND(Angles!B9&gt;=-45, Angles!B9&lt;=45), 0, 1))</f>
        <v>1</v>
      </c>
      <c r="C9" s="2">
        <f>IF(A9=0,"",IF(Angles!C9&gt;=0,IF(Angles!C9&lt;=20,1,2),2))</f>
        <v>2</v>
      </c>
      <c r="D9" s="105">
        <f>IF(A9=0,"", IF(AND(Angles!D9&gt;=-10, Angles!D9&lt;=10), 0, 1))</f>
        <v>0</v>
      </c>
      <c r="E9" s="2">
        <f>IF(A9=0,"", IF(AND(Angles!E9&gt;=-10, Angles!E9&lt;=10), 0, 1))</f>
        <v>0</v>
      </c>
      <c r="F9" s="105">
        <f>IF(A9=0,"", IF(Angles!F9&lt;0, 2, IF(Angles!F9&lt;=20, 1, IF(Angles!F9&lt;=60, 2, 3))))</f>
        <v>1</v>
      </c>
      <c r="G9" s="2">
        <f>IF(A9=0,"",IF(AND(Angles!G9&gt;=-10,Angles!G9&lt;=10),0,1))</f>
        <v>1</v>
      </c>
      <c r="H9" s="105">
        <f>IF(A9=0,"",IF(Angles!H9&lt;-20,2,IF(Angles!H9&lt;=20,1,IF(Angles!H9&lt;=60,2,IF(Angles!H9&lt;=90,3,4)))))</f>
        <v>1</v>
      </c>
      <c r="I9" s="2">
        <f>IF(A9=0,"",IF(AND(Angles!I9&gt;=-60,Angles!I9&lt;=60),0,1))</f>
        <v>0</v>
      </c>
      <c r="J9" s="105">
        <f>IF(A9=0,"",IF(Angles!J9&lt;-20,2,IF(Angles!J9&lt;=20,1,IF(Angles!J9&lt;=60,2,IF(Angles!J9&lt;=90,3,4)))))</f>
        <v>2</v>
      </c>
      <c r="K9" s="2">
        <f>IF(A9=0,"",IF(AND(Angles!K9&gt;=-60,Angles!K9&lt;=60),0,1))</f>
        <v>0</v>
      </c>
      <c r="L9" s="105">
        <f>IF(A9=0,"",IF(AND(Angles!L9&gt;=30,Angles!L9&lt;=170),1,2))</f>
        <v>1</v>
      </c>
      <c r="M9" s="2">
        <f>IF($A$3=0,"",IF(AND(Angles!M9&gt;=-60,Angles!M9&lt;=60),0,1))</f>
        <v>0</v>
      </c>
      <c r="N9" s="105">
        <f>IF(A9=0,"",IF(AND(Angles!N9&gt;=30,Angles!N9&lt;=170),1,2))</f>
        <v>1</v>
      </c>
      <c r="O9" s="2">
        <f>IF($A$3=0,"",IF(AND(Angles!O9&gt;=-60,Angles!O9&lt;=60),0,1))</f>
        <v>0</v>
      </c>
      <c r="P9" s="2">
        <f>IF(A9=0,"",IF(AND(Angles!P9&gt;=-15,Angles!P9&lt;=15),1,2))</f>
        <v>1</v>
      </c>
      <c r="Q9" s="2">
        <f>IF($A$3=0,"",IF(AND(Angles!Q9&gt;=-15,Angles!Q9&lt;=24),0,1))</f>
        <v>0</v>
      </c>
      <c r="R9" s="2">
        <f>IF(A9=0,"",IF(AND(Angles!R9&gt;=-15,Angles!R9&lt;=15),1,2))</f>
        <v>2</v>
      </c>
      <c r="S9" s="2">
        <f>IF($A$3=0,"",IF(AND(Angles!S9&gt;=-15,Angles!S9&lt;=24),0,1))</f>
        <v>0</v>
      </c>
      <c r="T9" s="2">
        <f>IF(A9=0,"",IF(Angles!T9&lt;=30,0,IF(Angles!T9&lt;=60,1,2)))</f>
        <v>0</v>
      </c>
      <c r="U9" s="2">
        <f>IF(A9=0,"",IF(Angles!U9&lt;=30,0,IF(Angles!U9&lt;=60,1,2)))</f>
        <v>1</v>
      </c>
      <c r="V9" s="105">
        <v>1</v>
      </c>
    </row>
    <row r="10" spans="1:24" x14ac:dyDescent="0.25">
      <c r="A10" s="106">
        <f>Angles!A10</f>
        <v>8</v>
      </c>
      <c r="B10" s="105">
        <f>IF(A10=0,"", IF(AND(Angles!B10&gt;=-45, Angles!B10&lt;=45), 0, 1))</f>
        <v>1</v>
      </c>
      <c r="C10" s="2">
        <f>IF(A10=0,"",IF(Angles!C10&gt;=0,IF(Angles!C10&lt;=20,1,2),2))</f>
        <v>2</v>
      </c>
      <c r="D10" s="105">
        <f>IF(A10=0,"", IF(AND(Angles!D10&gt;=-10, Angles!D10&lt;=10), 0, 1))</f>
        <v>0</v>
      </c>
      <c r="E10" s="2">
        <f>IF(A10=0,"", IF(AND(Angles!E10&gt;=-10, Angles!E10&lt;=10), 0, 1))</f>
        <v>0</v>
      </c>
      <c r="F10" s="105">
        <f>IF(A10=0,"", IF(Angles!F10&lt;0, 2, IF(Angles!F10&lt;=20, 1, IF(Angles!F10&lt;=60, 2, 3))))</f>
        <v>1</v>
      </c>
      <c r="G10" s="2">
        <f>IF(A10=0,"",IF(AND(Angles!G10&gt;=-10,Angles!G10&lt;=10),0,1))</f>
        <v>1</v>
      </c>
      <c r="H10" s="105">
        <f>IF(A10=0,"",IF(Angles!H10&lt;-20,2,IF(Angles!H10&lt;=20,1,IF(Angles!H10&lt;=60,2,IF(Angles!H10&lt;=90,3,4)))))</f>
        <v>1</v>
      </c>
      <c r="I10" s="2">
        <f>IF(A10=0,"",IF(AND(Angles!I10&gt;=-60,Angles!I10&lt;=60),0,1))</f>
        <v>0</v>
      </c>
      <c r="J10" s="105">
        <f>IF(A10=0,"",IF(Angles!J10&lt;-20,2,IF(Angles!J10&lt;=20,1,IF(Angles!J10&lt;=60,2,IF(Angles!J10&lt;=90,3,4)))))</f>
        <v>2</v>
      </c>
      <c r="K10" s="2">
        <f>IF(A10=0,"",IF(AND(Angles!K10&gt;=-60,Angles!K10&lt;=60),0,1))</f>
        <v>0</v>
      </c>
      <c r="L10" s="105">
        <f>IF(A10=0,"",IF(AND(Angles!L10&gt;=30,Angles!L10&lt;=170),1,2))</f>
        <v>1</v>
      </c>
      <c r="M10" s="2">
        <f>IF($A$3=0,"",IF(AND(Angles!M10&gt;=-60,Angles!M10&lt;=60),0,1))</f>
        <v>0</v>
      </c>
      <c r="N10" s="105">
        <f>IF(A10=0,"",IF(AND(Angles!N10&gt;=30,Angles!N10&lt;=170),1,2))</f>
        <v>1</v>
      </c>
      <c r="O10" s="2">
        <f>IF($A$3=0,"",IF(AND(Angles!O10&gt;=-60,Angles!O10&lt;=60),0,1))</f>
        <v>0</v>
      </c>
      <c r="P10" s="2">
        <f>IF(A10=0,"",IF(AND(Angles!P10&gt;=-15,Angles!P10&lt;=15),1,2))</f>
        <v>1</v>
      </c>
      <c r="Q10" s="2">
        <f>IF($A$3=0,"",IF(AND(Angles!Q10&gt;=-15,Angles!Q10&lt;=24),0,1))</f>
        <v>0</v>
      </c>
      <c r="R10" s="2">
        <f>IF(A10=0,"",IF(AND(Angles!R10&gt;=-15,Angles!R10&lt;=15),1,2))</f>
        <v>2</v>
      </c>
      <c r="S10" s="2">
        <f>IF($A$3=0,"",IF(AND(Angles!S10&gt;=-15,Angles!S10&lt;=24),0,1))</f>
        <v>0</v>
      </c>
      <c r="T10" s="2">
        <f>IF(A10=0,"",IF(Angles!T10&lt;=30,0,IF(Angles!T10&lt;=60,1,2)))</f>
        <v>0</v>
      </c>
      <c r="U10" s="2">
        <f>IF(A10=0,"",IF(Angles!U10&lt;=30,0,IF(Angles!U10&lt;=60,1,2)))</f>
        <v>1</v>
      </c>
      <c r="V10" s="105">
        <v>1</v>
      </c>
    </row>
    <row r="11" spans="1:24" x14ac:dyDescent="0.25">
      <c r="A11" s="106">
        <f>Angles!A11</f>
        <v>9</v>
      </c>
      <c r="B11" s="105">
        <f>IF(A11=0,"", IF(AND(Angles!B11&gt;=-45, Angles!B11&lt;=45), 0, 1))</f>
        <v>1</v>
      </c>
      <c r="C11" s="2">
        <f>IF(A11=0,"",IF(Angles!C11&gt;=0,IF(Angles!C11&lt;=20,1,2),2))</f>
        <v>2</v>
      </c>
      <c r="D11" s="105">
        <f>IF(A11=0,"", IF(AND(Angles!D11&gt;=-10, Angles!D11&lt;=10), 0, 1))</f>
        <v>0</v>
      </c>
      <c r="E11" s="2">
        <f>IF(A11=0,"", IF(AND(Angles!E11&gt;=-10, Angles!E11&lt;=10), 0, 1))</f>
        <v>0</v>
      </c>
      <c r="F11" s="105">
        <f>IF(A11=0,"", IF(Angles!F11&lt;0, 2, IF(Angles!F11&lt;=20, 1, IF(Angles!F11&lt;=60, 2, 3))))</f>
        <v>1</v>
      </c>
      <c r="G11" s="2">
        <f>IF(A11=0,"",IF(AND(Angles!G11&gt;=-10,Angles!G11&lt;=10),0,1))</f>
        <v>1</v>
      </c>
      <c r="H11" s="105">
        <f>IF(A11=0,"",IF(Angles!H11&lt;-20,2,IF(Angles!H11&lt;=20,1,IF(Angles!H11&lt;=60,2,IF(Angles!H11&lt;=90,3,4)))))</f>
        <v>1</v>
      </c>
      <c r="I11" s="2">
        <f>IF(A11=0,"",IF(AND(Angles!I11&gt;=-60,Angles!I11&lt;=60),0,1))</f>
        <v>0</v>
      </c>
      <c r="J11" s="105">
        <f>IF(A11=0,"",IF(Angles!J11&lt;-20,2,IF(Angles!J11&lt;=20,1,IF(Angles!J11&lt;=60,2,IF(Angles!J11&lt;=90,3,4)))))</f>
        <v>2</v>
      </c>
      <c r="K11" s="2">
        <f>IF(A11=0,"",IF(AND(Angles!K11&gt;=-60,Angles!K11&lt;=60),0,1))</f>
        <v>0</v>
      </c>
      <c r="L11" s="105">
        <f>IF(A11=0,"",IF(AND(Angles!L11&gt;=30,Angles!L11&lt;=170),1,2))</f>
        <v>1</v>
      </c>
      <c r="M11" s="2">
        <f>IF($A$3=0,"",IF(AND(Angles!M11&gt;=-60,Angles!M11&lt;=60),0,1))</f>
        <v>0</v>
      </c>
      <c r="N11" s="105">
        <f>IF(A11=0,"",IF(AND(Angles!N11&gt;=30,Angles!N11&lt;=170),1,2))</f>
        <v>1</v>
      </c>
      <c r="O11" s="2">
        <f>IF($A$3=0,"",IF(AND(Angles!O11&gt;=-60,Angles!O11&lt;=60),0,1))</f>
        <v>0</v>
      </c>
      <c r="P11" s="2">
        <f>IF(A11=0,"",IF(AND(Angles!P11&gt;=-15,Angles!P11&lt;=15),1,2))</f>
        <v>1</v>
      </c>
      <c r="Q11" s="2">
        <f>IF($A$3=0,"",IF(AND(Angles!Q11&gt;=-15,Angles!Q11&lt;=24),0,1))</f>
        <v>0</v>
      </c>
      <c r="R11" s="2">
        <f>IF(A11=0,"",IF(AND(Angles!R11&gt;=-15,Angles!R11&lt;=15),1,2))</f>
        <v>2</v>
      </c>
      <c r="S11" s="2">
        <f>IF($A$3=0,"",IF(AND(Angles!S11&gt;=-15,Angles!S11&lt;=24),0,1))</f>
        <v>0</v>
      </c>
      <c r="T11" s="2">
        <f>IF(A11=0,"",IF(Angles!T11&lt;=30,0,IF(Angles!T11&lt;=60,1,2)))</f>
        <v>0</v>
      </c>
      <c r="U11" s="2">
        <f>IF(A11=0,"",IF(Angles!U11&lt;=30,0,IF(Angles!U11&lt;=60,1,2)))</f>
        <v>1</v>
      </c>
      <c r="V11" s="105">
        <v>1</v>
      </c>
    </row>
    <row r="12" spans="1:24" x14ac:dyDescent="0.25">
      <c r="A12" s="106">
        <f>Angles!A12</f>
        <v>10</v>
      </c>
      <c r="B12" s="105">
        <f>IF(A12=0,"", IF(AND(Angles!B12&gt;=-45, Angles!B12&lt;=45), 0, 1))</f>
        <v>1</v>
      </c>
      <c r="C12" s="2">
        <f>IF(A12=0,"",IF(Angles!C12&gt;=0,IF(Angles!C12&lt;=20,1,2),2))</f>
        <v>2</v>
      </c>
      <c r="D12" s="105">
        <f>IF(A12=0,"", IF(AND(Angles!D12&gt;=-10, Angles!D12&lt;=10), 0, 1))</f>
        <v>0</v>
      </c>
      <c r="E12" s="2">
        <f>IF(A12=0,"", IF(AND(Angles!E12&gt;=-10, Angles!E12&lt;=10), 0, 1))</f>
        <v>0</v>
      </c>
      <c r="F12" s="105">
        <f>IF(A12=0,"", IF(Angles!F12&lt;0, 2, IF(Angles!F12&lt;=20, 1, IF(Angles!F12&lt;=60, 2, 3))))</f>
        <v>1</v>
      </c>
      <c r="G12" s="2">
        <f>IF(A12=0,"",IF(AND(Angles!G12&gt;=-10,Angles!G12&lt;=10),0,1))</f>
        <v>0</v>
      </c>
      <c r="H12" s="105">
        <f>IF(A12=0,"",IF(Angles!H12&lt;-20,2,IF(Angles!H12&lt;=20,1,IF(Angles!H12&lt;=60,2,IF(Angles!H12&lt;=90,3,4)))))</f>
        <v>1</v>
      </c>
      <c r="I12" s="2">
        <f>IF(A12=0,"",IF(AND(Angles!I12&gt;=-60,Angles!I12&lt;=60),0,1))</f>
        <v>0</v>
      </c>
      <c r="J12" s="105">
        <f>IF(A12=0,"",IF(Angles!J12&lt;-20,2,IF(Angles!J12&lt;=20,1,IF(Angles!J12&lt;=60,2,IF(Angles!J12&lt;=90,3,4)))))</f>
        <v>2</v>
      </c>
      <c r="K12" s="2">
        <f>IF(A12=0,"",IF(AND(Angles!K12&gt;=-60,Angles!K12&lt;=60),0,1))</f>
        <v>0</v>
      </c>
      <c r="L12" s="105">
        <f>IF(A12=0,"",IF(AND(Angles!L12&gt;=30,Angles!L12&lt;=170),1,2))</f>
        <v>1</v>
      </c>
      <c r="M12" s="2">
        <f>IF($A$3=0,"",IF(AND(Angles!M12&gt;=-60,Angles!M12&lt;=60),0,1))</f>
        <v>0</v>
      </c>
      <c r="N12" s="105">
        <f>IF(A12=0,"",IF(AND(Angles!N12&gt;=30,Angles!N12&lt;=170),1,2))</f>
        <v>1</v>
      </c>
      <c r="O12" s="2">
        <f>IF($A$3=0,"",IF(AND(Angles!O12&gt;=-60,Angles!O12&lt;=60),0,1))</f>
        <v>0</v>
      </c>
      <c r="P12" s="2">
        <f>IF(A12=0,"",IF(AND(Angles!P12&gt;=-15,Angles!P12&lt;=15),1,2))</f>
        <v>1</v>
      </c>
      <c r="Q12" s="2">
        <f>IF($A$3=0,"",IF(AND(Angles!Q12&gt;=-15,Angles!Q12&lt;=24),0,1))</f>
        <v>0</v>
      </c>
      <c r="R12" s="2">
        <f>IF(A12=0,"",IF(AND(Angles!R12&gt;=-15,Angles!R12&lt;=15),1,2))</f>
        <v>2</v>
      </c>
      <c r="S12" s="2">
        <f>IF($A$3=0,"",IF(AND(Angles!S12&gt;=-15,Angles!S12&lt;=24),0,1))</f>
        <v>0</v>
      </c>
      <c r="T12" s="2">
        <f>IF(A12=0,"",IF(Angles!T12&lt;=30,0,IF(Angles!T12&lt;=60,1,2)))</f>
        <v>0</v>
      </c>
      <c r="U12" s="2">
        <f>IF(A12=0,"",IF(Angles!U12&lt;=30,0,IF(Angles!U12&lt;=60,1,2)))</f>
        <v>1</v>
      </c>
      <c r="V12" s="105">
        <v>1</v>
      </c>
    </row>
    <row r="13" spans="1:24" x14ac:dyDescent="0.25">
      <c r="A13" s="106">
        <f>Angles!A13</f>
        <v>11</v>
      </c>
      <c r="B13" s="105">
        <f>IF(A13=0,"", IF(AND(Angles!B13&gt;=-45, Angles!B13&lt;=45), 0, 1))</f>
        <v>1</v>
      </c>
      <c r="C13" s="2">
        <f>IF(A13=0,"",IF(Angles!C13&gt;=0,IF(Angles!C13&lt;=20,1,2),2))</f>
        <v>2</v>
      </c>
      <c r="D13" s="105">
        <f>IF(A13=0,"", IF(AND(Angles!D13&gt;=-10, Angles!D13&lt;=10), 0, 1))</f>
        <v>0</v>
      </c>
      <c r="E13" s="2">
        <f>IF(A13=0,"", IF(AND(Angles!E13&gt;=-10, Angles!E13&lt;=10), 0, 1))</f>
        <v>0</v>
      </c>
      <c r="F13" s="105">
        <f>IF(A13=0,"", IF(Angles!F13&lt;0, 2, IF(Angles!F13&lt;=20, 1, IF(Angles!F13&lt;=60, 2, 3))))</f>
        <v>1</v>
      </c>
      <c r="G13" s="2">
        <f>IF(A13=0,"",IF(AND(Angles!G13&gt;=-10,Angles!G13&lt;=10),0,1))</f>
        <v>0</v>
      </c>
      <c r="H13" s="105">
        <f>IF(A13=0,"",IF(Angles!H13&lt;-20,2,IF(Angles!H13&lt;=20,1,IF(Angles!H13&lt;=60,2,IF(Angles!H13&lt;=90,3,4)))))</f>
        <v>1</v>
      </c>
      <c r="I13" s="2">
        <f>IF(A13=0,"",IF(AND(Angles!I13&gt;=-60,Angles!I13&lt;=60),0,1))</f>
        <v>0</v>
      </c>
      <c r="J13" s="105">
        <f>IF(A13=0,"",IF(Angles!J13&lt;-20,2,IF(Angles!J13&lt;=20,1,IF(Angles!J13&lt;=60,2,IF(Angles!J13&lt;=90,3,4)))))</f>
        <v>2</v>
      </c>
      <c r="K13" s="2">
        <f>IF(A13=0,"",IF(AND(Angles!K13&gt;=-60,Angles!K13&lt;=60),0,1))</f>
        <v>0</v>
      </c>
      <c r="L13" s="105">
        <f>IF(A13=0,"",IF(AND(Angles!L13&gt;=30,Angles!L13&lt;=170),1,2))</f>
        <v>1</v>
      </c>
      <c r="M13" s="2">
        <f>IF($A$3=0,"",IF(AND(Angles!M13&gt;=-60,Angles!M13&lt;=60),0,1))</f>
        <v>0</v>
      </c>
      <c r="N13" s="105">
        <f>IF(A13=0,"",IF(AND(Angles!N13&gt;=30,Angles!N13&lt;=170),1,2))</f>
        <v>1</v>
      </c>
      <c r="O13" s="2">
        <f>IF($A$3=0,"",IF(AND(Angles!O13&gt;=-60,Angles!O13&lt;=60),0,1))</f>
        <v>0</v>
      </c>
      <c r="P13" s="2">
        <f>IF(A13=0,"",IF(AND(Angles!P13&gt;=-15,Angles!P13&lt;=15),1,2))</f>
        <v>1</v>
      </c>
      <c r="Q13" s="2">
        <f>IF($A$3=0,"",IF(AND(Angles!Q13&gt;=-15,Angles!Q13&lt;=24),0,1))</f>
        <v>0</v>
      </c>
      <c r="R13" s="2">
        <f>IF(A13=0,"",IF(AND(Angles!R13&gt;=-15,Angles!R13&lt;=15),1,2))</f>
        <v>2</v>
      </c>
      <c r="S13" s="2">
        <f>IF($A$3=0,"",IF(AND(Angles!S13&gt;=-15,Angles!S13&lt;=24),0,1))</f>
        <v>0</v>
      </c>
      <c r="T13" s="2">
        <f>IF(A13=0,"",IF(Angles!T13&lt;=30,0,IF(Angles!T13&lt;=60,1,2)))</f>
        <v>0</v>
      </c>
      <c r="U13" s="2">
        <f>IF(A13=0,"",IF(Angles!U13&lt;=30,0,IF(Angles!U13&lt;=60,1,2)))</f>
        <v>1</v>
      </c>
      <c r="V13" s="105">
        <v>1</v>
      </c>
    </row>
    <row r="14" spans="1:24" x14ac:dyDescent="0.25">
      <c r="A14" s="106">
        <f>Angles!A14</f>
        <v>12</v>
      </c>
      <c r="B14" s="105">
        <f>IF(A14=0,"", IF(AND(Angles!B14&gt;=-45, Angles!B14&lt;=45), 0, 1))</f>
        <v>0</v>
      </c>
      <c r="C14" s="2">
        <f>IF(A14=0,"",IF(Angles!C14&gt;=0,IF(Angles!C14&lt;=20,1,2),2))</f>
        <v>1</v>
      </c>
      <c r="D14" s="105">
        <f>IF(A14=0,"", IF(AND(Angles!D14&gt;=-10, Angles!D14&lt;=10), 0, 1))</f>
        <v>0</v>
      </c>
      <c r="E14" s="2">
        <f>IF(A14=0,"", IF(AND(Angles!E14&gt;=-10, Angles!E14&lt;=10), 0, 1))</f>
        <v>0</v>
      </c>
      <c r="F14" s="105">
        <f>IF(A14=0,"", IF(Angles!F14&lt;0, 2, IF(Angles!F14&lt;=20, 1, IF(Angles!F14&lt;=60, 2, 3))))</f>
        <v>1</v>
      </c>
      <c r="G14" s="2">
        <f>IF(A14=0,"",IF(AND(Angles!G14&gt;=-10,Angles!G14&lt;=10),0,1))</f>
        <v>0</v>
      </c>
      <c r="H14" s="105">
        <f>IF(A14=0,"",IF(Angles!H14&lt;-20,2,IF(Angles!H14&lt;=20,1,IF(Angles!H14&lt;=60,2,IF(Angles!H14&lt;=90,3,4)))))</f>
        <v>1</v>
      </c>
      <c r="I14" s="2">
        <f>IF(A14=0,"",IF(AND(Angles!I14&gt;=-60,Angles!I14&lt;=60),0,1))</f>
        <v>0</v>
      </c>
      <c r="J14" s="105">
        <f>IF(A14=0,"",IF(Angles!J14&lt;-20,2,IF(Angles!J14&lt;=20,1,IF(Angles!J14&lt;=60,2,IF(Angles!J14&lt;=90,3,4)))))</f>
        <v>2</v>
      </c>
      <c r="K14" s="2">
        <f>IF(A14=0,"",IF(AND(Angles!K14&gt;=-60,Angles!K14&lt;=60),0,1))</f>
        <v>0</v>
      </c>
      <c r="L14" s="105">
        <f>IF(A14=0,"",IF(AND(Angles!L14&gt;=30,Angles!L14&lt;=170),1,2))</f>
        <v>1</v>
      </c>
      <c r="M14" s="2">
        <f>IF($A$3=0,"",IF(AND(Angles!M14&gt;=-60,Angles!M14&lt;=60),0,1))</f>
        <v>0</v>
      </c>
      <c r="N14" s="105">
        <f>IF(A14=0,"",IF(AND(Angles!N14&gt;=30,Angles!N14&lt;=170),1,2))</f>
        <v>1</v>
      </c>
      <c r="O14" s="2">
        <f>IF($A$3=0,"",IF(AND(Angles!O14&gt;=-60,Angles!O14&lt;=60),0,1))</f>
        <v>0</v>
      </c>
      <c r="P14" s="2">
        <f>IF(A14=0,"",IF(AND(Angles!P14&gt;=-15,Angles!P14&lt;=15),1,2))</f>
        <v>1</v>
      </c>
      <c r="Q14" s="2">
        <f>IF($A$3=0,"",IF(AND(Angles!Q14&gt;=-15,Angles!Q14&lt;=24),0,1))</f>
        <v>0</v>
      </c>
      <c r="R14" s="2">
        <f>IF(A14=0,"",IF(AND(Angles!R14&gt;=-15,Angles!R14&lt;=15),1,2))</f>
        <v>1</v>
      </c>
      <c r="S14" s="2">
        <f>IF($A$3=0,"",IF(AND(Angles!S14&gt;=-15,Angles!S14&lt;=24),0,1))</f>
        <v>0</v>
      </c>
      <c r="T14" s="2">
        <f>IF(A14=0,"",IF(Angles!T14&lt;=30,0,IF(Angles!T14&lt;=60,1,2)))</f>
        <v>0</v>
      </c>
      <c r="U14" s="2">
        <f>IF(A14=0,"",IF(Angles!U14&lt;=30,0,IF(Angles!U14&lt;=60,1,2)))</f>
        <v>1</v>
      </c>
      <c r="V14" s="105">
        <v>1</v>
      </c>
    </row>
    <row r="15" spans="1:24" x14ac:dyDescent="0.25">
      <c r="A15" s="106">
        <f>Angles!A15</f>
        <v>13</v>
      </c>
      <c r="B15" s="105">
        <f>IF(A15=0,"", IF(AND(Angles!B15&gt;=-45, Angles!B15&lt;=45), 0, 1))</f>
        <v>0</v>
      </c>
      <c r="C15" s="2">
        <f>IF(A15=0,"",IF(Angles!C15&gt;=0,IF(Angles!C15&lt;=20,1,2),2))</f>
        <v>1</v>
      </c>
      <c r="D15" s="105">
        <f>IF(A15=0,"", IF(AND(Angles!D15&gt;=-10, Angles!D15&lt;=10), 0, 1))</f>
        <v>0</v>
      </c>
      <c r="E15" s="2">
        <f>IF(A15=0,"", IF(AND(Angles!E15&gt;=-10, Angles!E15&lt;=10), 0, 1))</f>
        <v>0</v>
      </c>
      <c r="F15" s="105">
        <f>IF(A15=0,"", IF(Angles!F15&lt;0, 2, IF(Angles!F15&lt;=20, 1, IF(Angles!F15&lt;=60, 2, 3))))</f>
        <v>1</v>
      </c>
      <c r="G15" s="2">
        <f>IF(A15=0,"",IF(AND(Angles!G15&gt;=-10,Angles!G15&lt;=10),0,1))</f>
        <v>0</v>
      </c>
      <c r="H15" s="105">
        <f>IF(A15=0,"",IF(Angles!H15&lt;-20,2,IF(Angles!H15&lt;=20,1,IF(Angles!H15&lt;=60,2,IF(Angles!H15&lt;=90,3,4)))))</f>
        <v>1</v>
      </c>
      <c r="I15" s="2">
        <f>IF(A15=0,"",IF(AND(Angles!I15&gt;=-60,Angles!I15&lt;=60),0,1))</f>
        <v>0</v>
      </c>
      <c r="J15" s="105">
        <f>IF(A15=0,"",IF(Angles!J15&lt;-20,2,IF(Angles!J15&lt;=20,1,IF(Angles!J15&lt;=60,2,IF(Angles!J15&lt;=90,3,4)))))</f>
        <v>2</v>
      </c>
      <c r="K15" s="2">
        <f>IF(A15=0,"",IF(AND(Angles!K15&gt;=-60,Angles!K15&lt;=60),0,1))</f>
        <v>0</v>
      </c>
      <c r="L15" s="105">
        <f>IF(A15=0,"",IF(AND(Angles!L15&gt;=30,Angles!L15&lt;=170),1,2))</f>
        <v>1</v>
      </c>
      <c r="M15" s="2">
        <f>IF($A$3=0,"",IF(AND(Angles!M15&gt;=-60,Angles!M15&lt;=60),0,1))</f>
        <v>0</v>
      </c>
      <c r="N15" s="105">
        <f>IF(A15=0,"",IF(AND(Angles!N15&gt;=30,Angles!N15&lt;=170),1,2))</f>
        <v>1</v>
      </c>
      <c r="O15" s="2">
        <f>IF($A$3=0,"",IF(AND(Angles!O15&gt;=-60,Angles!O15&lt;=60),0,1))</f>
        <v>0</v>
      </c>
      <c r="P15" s="2">
        <f>IF(A15=0,"",IF(AND(Angles!P15&gt;=-15,Angles!P15&lt;=15),1,2))</f>
        <v>1</v>
      </c>
      <c r="Q15" s="2">
        <f>IF($A$3=0,"",IF(AND(Angles!Q15&gt;=-15,Angles!Q15&lt;=24),0,1))</f>
        <v>0</v>
      </c>
      <c r="R15" s="2">
        <f>IF(A15=0,"",IF(AND(Angles!R15&gt;=-15,Angles!R15&lt;=15),1,2))</f>
        <v>1</v>
      </c>
      <c r="S15" s="2">
        <f>IF($A$3=0,"",IF(AND(Angles!S15&gt;=-15,Angles!S15&lt;=24),0,1))</f>
        <v>0</v>
      </c>
      <c r="T15" s="2">
        <f>IF(A15=0,"",IF(Angles!T15&lt;=30,0,IF(Angles!T15&lt;=60,1,2)))</f>
        <v>0</v>
      </c>
      <c r="U15" s="2">
        <f>IF(A15=0,"",IF(Angles!U15&lt;=30,0,IF(Angles!U15&lt;=60,1,2)))</f>
        <v>1</v>
      </c>
      <c r="V15" s="105">
        <v>1</v>
      </c>
    </row>
    <row r="16" spans="1:24" x14ac:dyDescent="0.25">
      <c r="A16" s="106">
        <f>Angles!A16</f>
        <v>14</v>
      </c>
      <c r="B16" s="105">
        <f>IF(A16=0,"", IF(AND(Angles!B16&gt;=-45, Angles!B16&lt;=45), 0, 1))</f>
        <v>0</v>
      </c>
      <c r="C16" s="2">
        <f>IF(A16=0,"",IF(Angles!C16&gt;=0,IF(Angles!C16&lt;=20,1,2),2))</f>
        <v>1</v>
      </c>
      <c r="D16" s="105">
        <f>IF(A16=0,"", IF(AND(Angles!D16&gt;=-10, Angles!D16&lt;=10), 0, 1))</f>
        <v>0</v>
      </c>
      <c r="E16" s="2">
        <f>IF(A16=0,"", IF(AND(Angles!E16&gt;=-10, Angles!E16&lt;=10), 0, 1))</f>
        <v>0</v>
      </c>
      <c r="F16" s="105">
        <f>IF(A16=0,"", IF(Angles!F16&lt;0, 2, IF(Angles!F16&lt;=20, 1, IF(Angles!F16&lt;=60, 2, 3))))</f>
        <v>1</v>
      </c>
      <c r="G16" s="2">
        <f>IF(A16=0,"",IF(AND(Angles!G16&gt;=-10,Angles!G16&lt;=10),0,1))</f>
        <v>0</v>
      </c>
      <c r="H16" s="105">
        <f>IF(A16=0,"",IF(Angles!H16&lt;-20,2,IF(Angles!H16&lt;=20,1,IF(Angles!H16&lt;=60,2,IF(Angles!H16&lt;=90,3,4)))))</f>
        <v>1</v>
      </c>
      <c r="I16" s="2">
        <f>IF(A16=0,"",IF(AND(Angles!I16&gt;=-60,Angles!I16&lt;=60),0,1))</f>
        <v>0</v>
      </c>
      <c r="J16" s="105">
        <f>IF(A16=0,"",IF(Angles!J16&lt;-20,2,IF(Angles!J16&lt;=20,1,IF(Angles!J16&lt;=60,2,IF(Angles!J16&lt;=90,3,4)))))</f>
        <v>2</v>
      </c>
      <c r="K16" s="2">
        <f>IF(A16=0,"",IF(AND(Angles!K16&gt;=-60,Angles!K16&lt;=60),0,1))</f>
        <v>0</v>
      </c>
      <c r="L16" s="105">
        <f>IF(A16=0,"",IF(AND(Angles!L16&gt;=30,Angles!L16&lt;=170),1,2))</f>
        <v>1</v>
      </c>
      <c r="M16" s="2">
        <f>IF($A$3=0,"",IF(AND(Angles!M16&gt;=-60,Angles!M16&lt;=60),0,1))</f>
        <v>0</v>
      </c>
      <c r="N16" s="105">
        <f>IF(A16=0,"",IF(AND(Angles!N16&gt;=30,Angles!N16&lt;=170),1,2))</f>
        <v>1</v>
      </c>
      <c r="O16" s="2">
        <f>IF($A$3=0,"",IF(AND(Angles!O16&gt;=-60,Angles!O16&lt;=60),0,1))</f>
        <v>0</v>
      </c>
      <c r="P16" s="2">
        <f>IF(A16=0,"",IF(AND(Angles!P16&gt;=-15,Angles!P16&lt;=15),1,2))</f>
        <v>1</v>
      </c>
      <c r="Q16" s="2">
        <f>IF($A$3=0,"",IF(AND(Angles!Q16&gt;=-15,Angles!Q16&lt;=24),0,1))</f>
        <v>0</v>
      </c>
      <c r="R16" s="2">
        <f>IF(A16=0,"",IF(AND(Angles!R16&gt;=-15,Angles!R16&lt;=15),1,2))</f>
        <v>1</v>
      </c>
      <c r="S16" s="2">
        <f>IF($A$3=0,"",IF(AND(Angles!S16&gt;=-15,Angles!S16&lt;=24),0,1))</f>
        <v>0</v>
      </c>
      <c r="T16" s="2">
        <f>IF(A16=0,"",IF(Angles!T16&lt;=30,0,IF(Angles!T16&lt;=60,1,2)))</f>
        <v>0</v>
      </c>
      <c r="U16" s="2">
        <f>IF(A16=0,"",IF(Angles!U16&lt;=30,0,IF(Angles!U16&lt;=60,1,2)))</f>
        <v>1</v>
      </c>
      <c r="V16" s="105">
        <v>1</v>
      </c>
    </row>
    <row r="17" spans="1:22" x14ac:dyDescent="0.25">
      <c r="A17" s="106">
        <f>Angles!A17</f>
        <v>15</v>
      </c>
      <c r="B17" s="105">
        <f>IF(A17=0,"", IF(AND(Angles!B17&gt;=-45, Angles!B17&lt;=45), 0, 1))</f>
        <v>0</v>
      </c>
      <c r="C17" s="2">
        <f>IF(A17=0,"",IF(Angles!C17&gt;=0,IF(Angles!C17&lt;=20,1,2),2))</f>
        <v>1</v>
      </c>
      <c r="D17" s="105">
        <f>IF(A17=0,"", IF(AND(Angles!D17&gt;=-10, Angles!D17&lt;=10), 0, 1))</f>
        <v>0</v>
      </c>
      <c r="E17" s="2">
        <f>IF(A17=0,"", IF(AND(Angles!E17&gt;=-10, Angles!E17&lt;=10), 0, 1))</f>
        <v>0</v>
      </c>
      <c r="F17" s="105">
        <f>IF(A17=0,"", IF(Angles!F17&lt;0, 2, IF(Angles!F17&lt;=20, 1, IF(Angles!F17&lt;=60, 2, 3))))</f>
        <v>1</v>
      </c>
      <c r="G17" s="2">
        <f>IF(A17=0,"",IF(AND(Angles!G17&gt;=-10,Angles!G17&lt;=10),0,1))</f>
        <v>0</v>
      </c>
      <c r="H17" s="105">
        <f>IF(A17=0,"",IF(Angles!H17&lt;-20,2,IF(Angles!H17&lt;=20,1,IF(Angles!H17&lt;=60,2,IF(Angles!H17&lt;=90,3,4)))))</f>
        <v>1</v>
      </c>
      <c r="I17" s="2">
        <f>IF(A17=0,"",IF(AND(Angles!I17&gt;=-60,Angles!I17&lt;=60),0,1))</f>
        <v>0</v>
      </c>
      <c r="J17" s="105">
        <f>IF(A17=0,"",IF(Angles!J17&lt;-20,2,IF(Angles!J17&lt;=20,1,IF(Angles!J17&lt;=60,2,IF(Angles!J17&lt;=90,3,4)))))</f>
        <v>2</v>
      </c>
      <c r="K17" s="2">
        <f>IF(A17=0,"",IF(AND(Angles!K17&gt;=-60,Angles!K17&lt;=60),0,1))</f>
        <v>0</v>
      </c>
      <c r="L17" s="105">
        <f>IF(A17=0,"",IF(AND(Angles!L17&gt;=30,Angles!L17&lt;=170),1,2))</f>
        <v>1</v>
      </c>
      <c r="M17" s="2">
        <f>IF($A$3=0,"",IF(AND(Angles!M17&gt;=-60,Angles!M17&lt;=60),0,1))</f>
        <v>0</v>
      </c>
      <c r="N17" s="105">
        <f>IF(A17=0,"",IF(AND(Angles!N17&gt;=30,Angles!N17&lt;=170),1,2))</f>
        <v>1</v>
      </c>
      <c r="O17" s="2">
        <f>IF($A$3=0,"",IF(AND(Angles!O17&gt;=-60,Angles!O17&lt;=60),0,1))</f>
        <v>0</v>
      </c>
      <c r="P17" s="2">
        <f>IF(A17=0,"",IF(AND(Angles!P17&gt;=-15,Angles!P17&lt;=15),1,2))</f>
        <v>1</v>
      </c>
      <c r="Q17" s="2">
        <f>IF($A$3=0,"",IF(AND(Angles!Q17&gt;=-15,Angles!Q17&lt;=24),0,1))</f>
        <v>0</v>
      </c>
      <c r="R17" s="2">
        <f>IF(A17=0,"",IF(AND(Angles!R17&gt;=-15,Angles!R17&lt;=15),1,2))</f>
        <v>1</v>
      </c>
      <c r="S17" s="2">
        <f>IF($A$3=0,"",IF(AND(Angles!S17&gt;=-15,Angles!S17&lt;=24),0,1))</f>
        <v>0</v>
      </c>
      <c r="T17" s="2">
        <f>IF(A17=0,"",IF(Angles!T17&lt;=30,0,IF(Angles!T17&lt;=60,1,2)))</f>
        <v>0</v>
      </c>
      <c r="U17" s="2">
        <f>IF(A17=0,"",IF(Angles!U17&lt;=30,0,IF(Angles!U17&lt;=60,1,2)))</f>
        <v>1</v>
      </c>
      <c r="V17" s="105">
        <v>1</v>
      </c>
    </row>
    <row r="18" spans="1:22" x14ac:dyDescent="0.25">
      <c r="A18" s="106">
        <f>Angles!A18</f>
        <v>16</v>
      </c>
      <c r="B18" s="105">
        <f>IF(A18=0,"", IF(AND(Angles!B18&gt;=-45, Angles!B18&lt;=45), 0, 1))</f>
        <v>0</v>
      </c>
      <c r="C18" s="2">
        <f>IF(A18=0,"",IF(Angles!C18&gt;=0,IF(Angles!C18&lt;=20,1,2),2))</f>
        <v>1</v>
      </c>
      <c r="D18" s="105">
        <f>IF(A18=0,"", IF(AND(Angles!D18&gt;=-10, Angles!D18&lt;=10), 0, 1))</f>
        <v>0</v>
      </c>
      <c r="E18" s="2">
        <f>IF(A18=0,"", IF(AND(Angles!E18&gt;=-10, Angles!E18&lt;=10), 0, 1))</f>
        <v>0</v>
      </c>
      <c r="F18" s="105">
        <f>IF(A18=0,"", IF(Angles!F18&lt;0, 2, IF(Angles!F18&lt;=20, 1, IF(Angles!F18&lt;=60, 2, 3))))</f>
        <v>1</v>
      </c>
      <c r="G18" s="2">
        <f>IF(A18=0,"",IF(AND(Angles!G18&gt;=-10,Angles!G18&lt;=10),0,1))</f>
        <v>0</v>
      </c>
      <c r="H18" s="105">
        <f>IF(A18=0,"",IF(Angles!H18&lt;-20,2,IF(Angles!H18&lt;=20,1,IF(Angles!H18&lt;=60,2,IF(Angles!H18&lt;=90,3,4)))))</f>
        <v>1</v>
      </c>
      <c r="I18" s="2">
        <f>IF(A18=0,"",IF(AND(Angles!I18&gt;=-60,Angles!I18&lt;=60),0,1))</f>
        <v>0</v>
      </c>
      <c r="J18" s="105">
        <f>IF(A18=0,"",IF(Angles!J18&lt;-20,2,IF(Angles!J18&lt;=20,1,IF(Angles!J18&lt;=60,2,IF(Angles!J18&lt;=90,3,4)))))</f>
        <v>2</v>
      </c>
      <c r="K18" s="2">
        <f>IF(A18=0,"",IF(AND(Angles!K18&gt;=-60,Angles!K18&lt;=60),0,1))</f>
        <v>0</v>
      </c>
      <c r="L18" s="105">
        <f>IF(A18=0,"",IF(AND(Angles!L18&gt;=30,Angles!L18&lt;=170),1,2))</f>
        <v>1</v>
      </c>
      <c r="M18" s="2">
        <f>IF($A$3=0,"",IF(AND(Angles!M18&gt;=-60,Angles!M18&lt;=60),0,1))</f>
        <v>0</v>
      </c>
      <c r="N18" s="105">
        <f>IF(A18=0,"",IF(AND(Angles!N18&gt;=30,Angles!N18&lt;=170),1,2))</f>
        <v>1</v>
      </c>
      <c r="O18" s="2">
        <f>IF($A$3=0,"",IF(AND(Angles!O18&gt;=-60,Angles!O18&lt;=60),0,1))</f>
        <v>0</v>
      </c>
      <c r="P18" s="2">
        <f>IF(A18=0,"",IF(AND(Angles!P18&gt;=-15,Angles!P18&lt;=15),1,2))</f>
        <v>1</v>
      </c>
      <c r="Q18" s="2">
        <f>IF($A$3=0,"",IF(AND(Angles!Q18&gt;=-15,Angles!Q18&lt;=24),0,1))</f>
        <v>0</v>
      </c>
      <c r="R18" s="2">
        <f>IF(A18=0,"",IF(AND(Angles!R18&gt;=-15,Angles!R18&lt;=15),1,2))</f>
        <v>1</v>
      </c>
      <c r="S18" s="2">
        <f>IF($A$3=0,"",IF(AND(Angles!S18&gt;=-15,Angles!S18&lt;=24),0,1))</f>
        <v>0</v>
      </c>
      <c r="T18" s="2">
        <f>IF(A18=0,"",IF(Angles!T18&lt;=30,0,IF(Angles!T18&lt;=60,1,2)))</f>
        <v>0</v>
      </c>
      <c r="U18" s="2">
        <f>IF(A18=0,"",IF(Angles!U18&lt;=30,0,IF(Angles!U18&lt;=60,1,2)))</f>
        <v>1</v>
      </c>
      <c r="V18" s="105">
        <v>1</v>
      </c>
    </row>
    <row r="19" spans="1:22" x14ac:dyDescent="0.25">
      <c r="A19" s="106">
        <f>Angles!A19</f>
        <v>17</v>
      </c>
      <c r="B19" s="105">
        <f>IF(A19=0,"", IF(AND(Angles!B19&gt;=-45, Angles!B19&lt;=45), 0, 1))</f>
        <v>0</v>
      </c>
      <c r="C19" s="2">
        <f>IF(A19=0,"",IF(Angles!C19&gt;=0,IF(Angles!C19&lt;=20,1,2),2))</f>
        <v>1</v>
      </c>
      <c r="D19" s="105">
        <f>IF(A19=0,"", IF(AND(Angles!D19&gt;=-10, Angles!D19&lt;=10), 0, 1))</f>
        <v>0</v>
      </c>
      <c r="E19" s="2">
        <f>IF(A19=0,"", IF(AND(Angles!E19&gt;=-10, Angles!E19&lt;=10), 0, 1))</f>
        <v>0</v>
      </c>
      <c r="F19" s="105">
        <f>IF(A19=0,"", IF(Angles!F19&lt;0, 2, IF(Angles!F19&lt;=20, 1, IF(Angles!F19&lt;=60, 2, 3))))</f>
        <v>1</v>
      </c>
      <c r="G19" s="2">
        <f>IF(A19=0,"",IF(AND(Angles!G19&gt;=-10,Angles!G19&lt;=10),0,1))</f>
        <v>0</v>
      </c>
      <c r="H19" s="105">
        <f>IF(A19=0,"",IF(Angles!H19&lt;-20,2,IF(Angles!H19&lt;=20,1,IF(Angles!H19&lt;=60,2,IF(Angles!H19&lt;=90,3,4)))))</f>
        <v>1</v>
      </c>
      <c r="I19" s="2">
        <f>IF(A19=0,"",IF(AND(Angles!I19&gt;=-60,Angles!I19&lt;=60),0,1))</f>
        <v>0</v>
      </c>
      <c r="J19" s="105">
        <f>IF(A19=0,"",IF(Angles!J19&lt;-20,2,IF(Angles!J19&lt;=20,1,IF(Angles!J19&lt;=60,2,IF(Angles!J19&lt;=90,3,4)))))</f>
        <v>2</v>
      </c>
      <c r="K19" s="2">
        <f>IF(A19=0,"",IF(AND(Angles!K19&gt;=-60,Angles!K19&lt;=60),0,1))</f>
        <v>0</v>
      </c>
      <c r="L19" s="105">
        <f>IF(A19=0,"",IF(AND(Angles!L19&gt;=30,Angles!L19&lt;=170),1,2))</f>
        <v>1</v>
      </c>
      <c r="M19" s="2">
        <f>IF($A$3=0,"",IF(AND(Angles!M19&gt;=-60,Angles!M19&lt;=60),0,1))</f>
        <v>1</v>
      </c>
      <c r="N19" s="105">
        <f>IF(A19=0,"",IF(AND(Angles!N19&gt;=30,Angles!N19&lt;=170),1,2))</f>
        <v>1</v>
      </c>
      <c r="O19" s="2">
        <f>IF($A$3=0,"",IF(AND(Angles!O19&gt;=-60,Angles!O19&lt;=60),0,1))</f>
        <v>0</v>
      </c>
      <c r="P19" s="2">
        <f>IF(A19=0,"",IF(AND(Angles!P19&gt;=-15,Angles!P19&lt;=15),1,2))</f>
        <v>1</v>
      </c>
      <c r="Q19" s="2">
        <f>IF($A$3=0,"",IF(AND(Angles!Q19&gt;=-15,Angles!Q19&lt;=24),0,1))</f>
        <v>0</v>
      </c>
      <c r="R19" s="2">
        <f>IF(A19=0,"",IF(AND(Angles!R19&gt;=-15,Angles!R19&lt;=15),1,2))</f>
        <v>1</v>
      </c>
      <c r="S19" s="2">
        <f>IF($A$3=0,"",IF(AND(Angles!S19&gt;=-15,Angles!S19&lt;=24),0,1))</f>
        <v>0</v>
      </c>
      <c r="T19" s="2">
        <f>IF(A19=0,"",IF(Angles!T19&lt;=30,0,IF(Angles!T19&lt;=60,1,2)))</f>
        <v>0</v>
      </c>
      <c r="U19" s="2">
        <f>IF(A19=0,"",IF(Angles!U19&lt;=30,0,IF(Angles!U19&lt;=60,1,2)))</f>
        <v>1</v>
      </c>
      <c r="V19" s="105">
        <v>2</v>
      </c>
    </row>
    <row r="20" spans="1:22" x14ac:dyDescent="0.25">
      <c r="A20" s="106">
        <f>Angles!A20</f>
        <v>18</v>
      </c>
      <c r="B20" s="105">
        <f>IF(A20=0,"", IF(AND(Angles!B20&gt;=-45, Angles!B20&lt;=45), 0, 1))</f>
        <v>0</v>
      </c>
      <c r="C20" s="2">
        <f>IF(A20=0,"",IF(Angles!C20&gt;=0,IF(Angles!C20&lt;=20,1,2),2))</f>
        <v>1</v>
      </c>
      <c r="D20" s="105">
        <f>IF(A20=0,"", IF(AND(Angles!D20&gt;=-10, Angles!D20&lt;=10), 0, 1))</f>
        <v>0</v>
      </c>
      <c r="E20" s="2">
        <f>IF(A20=0,"", IF(AND(Angles!E20&gt;=-10, Angles!E20&lt;=10), 0, 1))</f>
        <v>0</v>
      </c>
      <c r="F20" s="105">
        <f>IF(A20=0,"", IF(Angles!F20&lt;0, 2, IF(Angles!F20&lt;=20, 1, IF(Angles!F20&lt;=60, 2, 3))))</f>
        <v>1</v>
      </c>
      <c r="G20" s="2">
        <f>IF(A20=0,"",IF(AND(Angles!G20&gt;=-10,Angles!G20&lt;=10),0,1))</f>
        <v>0</v>
      </c>
      <c r="H20" s="105">
        <f>IF(A20=0,"",IF(Angles!H20&lt;-20,2,IF(Angles!H20&lt;=20,1,IF(Angles!H20&lt;=60,2,IF(Angles!H20&lt;=90,3,4)))))</f>
        <v>1</v>
      </c>
      <c r="I20" s="2">
        <f>IF(A20=0,"",IF(AND(Angles!I20&gt;=-60,Angles!I20&lt;=60),0,1))</f>
        <v>0</v>
      </c>
      <c r="J20" s="105">
        <f>IF(A20=0,"",IF(Angles!J20&lt;-20,2,IF(Angles!J20&lt;=20,1,IF(Angles!J20&lt;=60,2,IF(Angles!J20&lt;=90,3,4)))))</f>
        <v>2</v>
      </c>
      <c r="K20" s="2">
        <f>IF(A20=0,"",IF(AND(Angles!K20&gt;=-60,Angles!K20&lt;=60),0,1))</f>
        <v>0</v>
      </c>
      <c r="L20" s="105">
        <f>IF(A20=0,"",IF(AND(Angles!L20&gt;=30,Angles!L20&lt;=170),1,2))</f>
        <v>1</v>
      </c>
      <c r="M20" s="2">
        <f>IF($A$3=0,"",IF(AND(Angles!M20&gt;=-60,Angles!M20&lt;=60),0,1))</f>
        <v>1</v>
      </c>
      <c r="N20" s="105">
        <f>IF(A20=0,"",IF(AND(Angles!N20&gt;=30,Angles!N20&lt;=170),1,2))</f>
        <v>1</v>
      </c>
      <c r="O20" s="2">
        <f>IF($A$3=0,"",IF(AND(Angles!O20&gt;=-60,Angles!O20&lt;=60),0,1))</f>
        <v>0</v>
      </c>
      <c r="P20" s="2">
        <f>IF(A20=0,"",IF(AND(Angles!P20&gt;=-15,Angles!P20&lt;=15),1,2))</f>
        <v>1</v>
      </c>
      <c r="Q20" s="2">
        <f>IF($A$3=0,"",IF(AND(Angles!Q20&gt;=-15,Angles!Q20&lt;=24),0,1))</f>
        <v>0</v>
      </c>
      <c r="R20" s="2">
        <f>IF(A20=0,"",IF(AND(Angles!R20&gt;=-15,Angles!R20&lt;=15),1,2))</f>
        <v>1</v>
      </c>
      <c r="S20" s="2">
        <f>IF($A$3=0,"",IF(AND(Angles!S20&gt;=-15,Angles!S20&lt;=24),0,1))</f>
        <v>0</v>
      </c>
      <c r="T20" s="2">
        <f>IF(A20=0,"",IF(Angles!T20&lt;=30,0,IF(Angles!T20&lt;=60,1,2)))</f>
        <v>0</v>
      </c>
      <c r="U20" s="2">
        <f>IF(A20=0,"",IF(Angles!U20&lt;=30,0,IF(Angles!U20&lt;=60,1,2)))</f>
        <v>2</v>
      </c>
      <c r="V20" s="105">
        <v>2</v>
      </c>
    </row>
    <row r="21" spans="1:22" x14ac:dyDescent="0.25">
      <c r="A21" s="106">
        <f>Angles!A21</f>
        <v>19</v>
      </c>
      <c r="B21" s="105">
        <f>IF(A21=0,"", IF(AND(Angles!B21&gt;=-45, Angles!B21&lt;=45), 0, 1))</f>
        <v>0</v>
      </c>
      <c r="C21" s="2">
        <f>IF(A21=0,"",IF(Angles!C21&gt;=0,IF(Angles!C21&lt;=20,1,2),2))</f>
        <v>1</v>
      </c>
      <c r="D21" s="105">
        <f>IF(A21=0,"", IF(AND(Angles!D21&gt;=-10, Angles!D21&lt;=10), 0, 1))</f>
        <v>0</v>
      </c>
      <c r="E21" s="2">
        <f>IF(A21=0,"", IF(AND(Angles!E21&gt;=-10, Angles!E21&lt;=10), 0, 1))</f>
        <v>0</v>
      </c>
      <c r="F21" s="105">
        <f>IF(A21=0,"", IF(Angles!F21&lt;0, 2, IF(Angles!F21&lt;=20, 1, IF(Angles!F21&lt;=60, 2, 3))))</f>
        <v>1</v>
      </c>
      <c r="G21" s="2">
        <f>IF(A21=0,"",IF(AND(Angles!G21&gt;=-10,Angles!G21&lt;=10),0,1))</f>
        <v>0</v>
      </c>
      <c r="H21" s="105">
        <f>IF(A21=0,"",IF(Angles!H21&lt;-20,2,IF(Angles!H21&lt;=20,1,IF(Angles!H21&lt;=60,2,IF(Angles!H21&lt;=90,3,4)))))</f>
        <v>1</v>
      </c>
      <c r="I21" s="2">
        <f>IF(A21=0,"",IF(AND(Angles!I21&gt;=-60,Angles!I21&lt;=60),0,1))</f>
        <v>0</v>
      </c>
      <c r="J21" s="105">
        <f>IF(A21=0,"",IF(Angles!J21&lt;-20,2,IF(Angles!J21&lt;=20,1,IF(Angles!J21&lt;=60,2,IF(Angles!J21&lt;=90,3,4)))))</f>
        <v>2</v>
      </c>
      <c r="K21" s="2">
        <f>IF(A21=0,"",IF(AND(Angles!K21&gt;=-60,Angles!K21&lt;=60),0,1))</f>
        <v>0</v>
      </c>
      <c r="L21" s="105">
        <f>IF(A21=0,"",IF(AND(Angles!L21&gt;=30,Angles!L21&lt;=170),1,2))</f>
        <v>1</v>
      </c>
      <c r="M21" s="2">
        <f>IF($A$3=0,"",IF(AND(Angles!M21&gt;=-60,Angles!M21&lt;=60),0,1))</f>
        <v>0</v>
      </c>
      <c r="N21" s="105">
        <f>IF(A21=0,"",IF(AND(Angles!N21&gt;=30,Angles!N21&lt;=170),1,2))</f>
        <v>1</v>
      </c>
      <c r="O21" s="2">
        <f>IF($A$3=0,"",IF(AND(Angles!O21&gt;=-60,Angles!O21&lt;=60),0,1))</f>
        <v>0</v>
      </c>
      <c r="P21" s="2">
        <f>IF(A21=0,"",IF(AND(Angles!P21&gt;=-15,Angles!P21&lt;=15),1,2))</f>
        <v>1</v>
      </c>
      <c r="Q21" s="2">
        <f>IF($A$3=0,"",IF(AND(Angles!Q21&gt;=-15,Angles!Q21&lt;=24),0,1))</f>
        <v>0</v>
      </c>
      <c r="R21" s="2">
        <f>IF(A21=0,"",IF(AND(Angles!R21&gt;=-15,Angles!R21&lt;=15),1,2))</f>
        <v>1</v>
      </c>
      <c r="S21" s="2">
        <f>IF($A$3=0,"",IF(AND(Angles!S21&gt;=-15,Angles!S21&lt;=24),0,1))</f>
        <v>0</v>
      </c>
      <c r="T21" s="2">
        <f>IF(A21=0,"",IF(Angles!T21&lt;=30,0,IF(Angles!T21&lt;=60,1,2)))</f>
        <v>0</v>
      </c>
      <c r="U21" s="2">
        <f>IF(A21=0,"",IF(Angles!U21&lt;=30,0,IF(Angles!U21&lt;=60,1,2)))</f>
        <v>2</v>
      </c>
      <c r="V21" s="105">
        <v>2</v>
      </c>
    </row>
    <row r="22" spans="1:22" x14ac:dyDescent="0.25">
      <c r="A22" s="106">
        <f>Angles!A22</f>
        <v>20</v>
      </c>
      <c r="B22" s="105">
        <f>IF(A22=0,"", IF(AND(Angles!B22&gt;=-45, Angles!B22&lt;=45), 0, 1))</f>
        <v>0</v>
      </c>
      <c r="C22" s="2">
        <f>IF(A22=0,"",IF(Angles!C22&gt;=0,IF(Angles!C22&lt;=20,1,2),2))</f>
        <v>1</v>
      </c>
      <c r="D22" s="105">
        <f>IF(A22=0,"", IF(AND(Angles!D22&gt;=-10, Angles!D22&lt;=10), 0, 1))</f>
        <v>0</v>
      </c>
      <c r="E22" s="2">
        <f>IF(A22=0,"", IF(AND(Angles!E22&gt;=-10, Angles!E22&lt;=10), 0, 1))</f>
        <v>0</v>
      </c>
      <c r="F22" s="105">
        <f>IF(A22=0,"", IF(Angles!F22&lt;0, 2, IF(Angles!F22&lt;=20, 1, IF(Angles!F22&lt;=60, 2, 3))))</f>
        <v>1</v>
      </c>
      <c r="G22" s="2">
        <f>IF(A22=0,"",IF(AND(Angles!G22&gt;=-10,Angles!G22&lt;=10),0,1))</f>
        <v>0</v>
      </c>
      <c r="H22" s="105">
        <f>IF(A22=0,"",IF(Angles!H22&lt;-20,2,IF(Angles!H22&lt;=20,1,IF(Angles!H22&lt;=60,2,IF(Angles!H22&lt;=90,3,4)))))</f>
        <v>1</v>
      </c>
      <c r="I22" s="2">
        <f>IF(A22=0,"",IF(AND(Angles!I22&gt;=-60,Angles!I22&lt;=60),0,1))</f>
        <v>0</v>
      </c>
      <c r="J22" s="105">
        <f>IF(A22=0,"",IF(Angles!J22&lt;-20,2,IF(Angles!J22&lt;=20,1,IF(Angles!J22&lt;=60,2,IF(Angles!J22&lt;=90,3,4)))))</f>
        <v>2</v>
      </c>
      <c r="K22" s="2">
        <f>IF(A22=0,"",IF(AND(Angles!K22&gt;=-60,Angles!K22&lt;=60),0,1))</f>
        <v>0</v>
      </c>
      <c r="L22" s="105">
        <f>IF(A22=0,"",IF(AND(Angles!L22&gt;=30,Angles!L22&lt;=170),1,2))</f>
        <v>1</v>
      </c>
      <c r="M22" s="2">
        <f>IF($A$3=0,"",IF(AND(Angles!M22&gt;=-60,Angles!M22&lt;=60),0,1))</f>
        <v>0</v>
      </c>
      <c r="N22" s="105">
        <f>IF(A22=0,"",IF(AND(Angles!N22&gt;=30,Angles!N22&lt;=170),1,2))</f>
        <v>1</v>
      </c>
      <c r="O22" s="2">
        <f>IF($A$3=0,"",IF(AND(Angles!O22&gt;=-60,Angles!O22&lt;=60),0,1))</f>
        <v>0</v>
      </c>
      <c r="P22" s="2">
        <f>IF(A22=0,"",IF(AND(Angles!P22&gt;=-15,Angles!P22&lt;=15),1,2))</f>
        <v>1</v>
      </c>
      <c r="Q22" s="2">
        <f>IF($A$3=0,"",IF(AND(Angles!Q22&gt;=-15,Angles!Q22&lt;=24),0,1))</f>
        <v>0</v>
      </c>
      <c r="R22" s="2">
        <f>IF(A22=0,"",IF(AND(Angles!R22&gt;=-15,Angles!R22&lt;=15),1,2))</f>
        <v>1</v>
      </c>
      <c r="S22" s="2">
        <f>IF($A$3=0,"",IF(AND(Angles!S22&gt;=-15,Angles!S22&lt;=24),0,1))</f>
        <v>0</v>
      </c>
      <c r="T22" s="2">
        <f>IF(A22=0,"",IF(Angles!T22&lt;=30,0,IF(Angles!T22&lt;=60,1,2)))</f>
        <v>0</v>
      </c>
      <c r="U22" s="2">
        <f>IF(A22=0,"",IF(Angles!U22&lt;=30,0,IF(Angles!U22&lt;=60,1,2)))</f>
        <v>2</v>
      </c>
      <c r="V22" s="105">
        <v>2</v>
      </c>
    </row>
    <row r="23" spans="1:22" x14ac:dyDescent="0.25">
      <c r="A23" s="106">
        <f>Angles!A23</f>
        <v>21</v>
      </c>
      <c r="B23" s="105">
        <f>IF(A23=0,"", IF(AND(Angles!B23&gt;=-45, Angles!B23&lt;=45), 0, 1))</f>
        <v>0</v>
      </c>
      <c r="C23" s="2">
        <f>IF(A23=0,"",IF(Angles!C23&gt;=0,IF(Angles!C23&lt;=20,1,2),2))</f>
        <v>1</v>
      </c>
      <c r="D23" s="105">
        <f>IF(A23=0,"", IF(AND(Angles!D23&gt;=-10, Angles!D23&lt;=10), 0, 1))</f>
        <v>0</v>
      </c>
      <c r="E23" s="2">
        <f>IF(A23=0,"", IF(AND(Angles!E23&gt;=-10, Angles!E23&lt;=10), 0, 1))</f>
        <v>0</v>
      </c>
      <c r="F23" s="105">
        <f>IF(A23=0,"", IF(Angles!F23&lt;0, 2, IF(Angles!F23&lt;=20, 1, IF(Angles!F23&lt;=60, 2, 3))))</f>
        <v>1</v>
      </c>
      <c r="G23" s="2">
        <f>IF(A23=0,"",IF(AND(Angles!G23&gt;=-10,Angles!G23&lt;=10),0,1))</f>
        <v>0</v>
      </c>
      <c r="H23" s="105">
        <f>IF(A23=0,"",IF(Angles!H23&lt;-20,2,IF(Angles!H23&lt;=20,1,IF(Angles!H23&lt;=60,2,IF(Angles!H23&lt;=90,3,4)))))</f>
        <v>1</v>
      </c>
      <c r="I23" s="2">
        <f>IF(A23=0,"",IF(AND(Angles!I23&gt;=-60,Angles!I23&lt;=60),0,1))</f>
        <v>0</v>
      </c>
      <c r="J23" s="105">
        <f>IF(A23=0,"",IF(Angles!J23&lt;-20,2,IF(Angles!J23&lt;=20,1,IF(Angles!J23&lt;=60,2,IF(Angles!J23&lt;=90,3,4)))))</f>
        <v>2</v>
      </c>
      <c r="K23" s="2">
        <f>IF(A23=0,"",IF(AND(Angles!K23&gt;=-60,Angles!K23&lt;=60),0,1))</f>
        <v>0</v>
      </c>
      <c r="L23" s="105">
        <f>IF(A23=0,"",IF(AND(Angles!L23&gt;=30,Angles!L23&lt;=170),1,2))</f>
        <v>1</v>
      </c>
      <c r="M23" s="2">
        <f>IF($A$3=0,"",IF(AND(Angles!M23&gt;=-60,Angles!M23&lt;=60),0,1))</f>
        <v>0</v>
      </c>
      <c r="N23" s="105">
        <f>IF(A23=0,"",IF(AND(Angles!N23&gt;=30,Angles!N23&lt;=170),1,2))</f>
        <v>1</v>
      </c>
      <c r="O23" s="2">
        <f>IF($A$3=0,"",IF(AND(Angles!O23&gt;=-60,Angles!O23&lt;=60),0,1))</f>
        <v>0</v>
      </c>
      <c r="P23" s="2">
        <f>IF(A23=0,"",IF(AND(Angles!P23&gt;=-15,Angles!P23&lt;=15),1,2))</f>
        <v>1</v>
      </c>
      <c r="Q23" s="2">
        <f>IF($A$3=0,"",IF(AND(Angles!Q23&gt;=-15,Angles!Q23&lt;=24),0,1))</f>
        <v>0</v>
      </c>
      <c r="R23" s="2">
        <f>IF(A23=0,"",IF(AND(Angles!R23&gt;=-15,Angles!R23&lt;=15),1,2))</f>
        <v>1</v>
      </c>
      <c r="S23" s="2">
        <f>IF($A$3=0,"",IF(AND(Angles!S23&gt;=-15,Angles!S23&lt;=24),0,1))</f>
        <v>0</v>
      </c>
      <c r="T23" s="2">
        <f>IF(A23=0,"",IF(Angles!T23&lt;=30,0,IF(Angles!T23&lt;=60,1,2)))</f>
        <v>0</v>
      </c>
      <c r="U23" s="2">
        <f>IF(A23=0,"",IF(Angles!U23&lt;=30,0,IF(Angles!U23&lt;=60,1,2)))</f>
        <v>2</v>
      </c>
      <c r="V23" s="105">
        <v>2</v>
      </c>
    </row>
    <row r="24" spans="1:22" x14ac:dyDescent="0.25">
      <c r="A24" s="106">
        <f>Angles!A24</f>
        <v>22</v>
      </c>
      <c r="B24" s="105">
        <f>IF(A24=0,"", IF(AND(Angles!B24&gt;=-45, Angles!B24&lt;=45), 0, 1))</f>
        <v>0</v>
      </c>
      <c r="C24" s="2">
        <f>IF(A24=0,"",IF(Angles!C24&gt;=0,IF(Angles!C24&lt;=20,1,2),2))</f>
        <v>1</v>
      </c>
      <c r="D24" s="105">
        <f>IF(A24=0,"", IF(AND(Angles!D24&gt;=-10, Angles!D24&lt;=10), 0, 1))</f>
        <v>0</v>
      </c>
      <c r="E24" s="2">
        <f>IF(A24=0,"", IF(AND(Angles!E24&gt;=-10, Angles!E24&lt;=10), 0, 1))</f>
        <v>0</v>
      </c>
      <c r="F24" s="105">
        <f>IF(A24=0,"", IF(Angles!F24&lt;0, 2, IF(Angles!F24&lt;=20, 1, IF(Angles!F24&lt;=60, 2, 3))))</f>
        <v>1</v>
      </c>
      <c r="G24" s="2">
        <f>IF(A24=0,"",IF(AND(Angles!G24&gt;=-10,Angles!G24&lt;=10),0,1))</f>
        <v>0</v>
      </c>
      <c r="H24" s="105">
        <f>IF(A24=0,"",IF(Angles!H24&lt;-20,2,IF(Angles!H24&lt;=20,1,IF(Angles!H24&lt;=60,2,IF(Angles!H24&lt;=90,3,4)))))</f>
        <v>1</v>
      </c>
      <c r="I24" s="2">
        <f>IF(A24=0,"",IF(AND(Angles!I24&gt;=-60,Angles!I24&lt;=60),0,1))</f>
        <v>0</v>
      </c>
      <c r="J24" s="105">
        <f>IF(A24=0,"",IF(Angles!J24&lt;-20,2,IF(Angles!J24&lt;=20,1,IF(Angles!J24&lt;=60,2,IF(Angles!J24&lt;=90,3,4)))))</f>
        <v>2</v>
      </c>
      <c r="K24" s="2">
        <f>IF(A24=0,"",IF(AND(Angles!K24&gt;=-60,Angles!K24&lt;=60),0,1))</f>
        <v>0</v>
      </c>
      <c r="L24" s="105">
        <f>IF(A24=0,"",IF(AND(Angles!L24&gt;=30,Angles!L24&lt;=170),1,2))</f>
        <v>1</v>
      </c>
      <c r="M24" s="2">
        <f>IF($A$3=0,"",IF(AND(Angles!M24&gt;=-60,Angles!M24&lt;=60),0,1))</f>
        <v>0</v>
      </c>
      <c r="N24" s="105">
        <f>IF(A24=0,"",IF(AND(Angles!N24&gt;=30,Angles!N24&lt;=170),1,2))</f>
        <v>1</v>
      </c>
      <c r="O24" s="2">
        <f>IF($A$3=0,"",IF(AND(Angles!O24&gt;=-60,Angles!O24&lt;=60),0,1))</f>
        <v>0</v>
      </c>
      <c r="P24" s="2">
        <f>IF(A24=0,"",IF(AND(Angles!P24&gt;=-15,Angles!P24&lt;=15),1,2))</f>
        <v>1</v>
      </c>
      <c r="Q24" s="2">
        <f>IF($A$3=0,"",IF(AND(Angles!Q24&gt;=-15,Angles!Q24&lt;=24),0,1))</f>
        <v>0</v>
      </c>
      <c r="R24" s="2">
        <f>IF(A24=0,"",IF(AND(Angles!R24&gt;=-15,Angles!R24&lt;=15),1,2))</f>
        <v>1</v>
      </c>
      <c r="S24" s="2">
        <f>IF($A$3=0,"",IF(AND(Angles!S24&gt;=-15,Angles!S24&lt;=24),0,1))</f>
        <v>0</v>
      </c>
      <c r="T24" s="2">
        <f>IF(A24=0,"",IF(Angles!T24&lt;=30,0,IF(Angles!T24&lt;=60,1,2)))</f>
        <v>0</v>
      </c>
      <c r="U24" s="2">
        <f>IF(A24=0,"",IF(Angles!U24&lt;=30,0,IF(Angles!U24&lt;=60,1,2)))</f>
        <v>2</v>
      </c>
      <c r="V24" s="105">
        <v>2</v>
      </c>
    </row>
    <row r="25" spans="1:22" x14ac:dyDescent="0.25">
      <c r="A25" s="106">
        <f>Angles!A25</f>
        <v>23</v>
      </c>
      <c r="B25" s="105">
        <f>IF(A25=0,"", IF(AND(Angles!B25&gt;=-45, Angles!B25&lt;=45), 0, 1))</f>
        <v>0</v>
      </c>
      <c r="C25" s="2">
        <f>IF(A25=0,"",IF(Angles!C25&gt;=0,IF(Angles!C25&lt;=20,1,2),2))</f>
        <v>1</v>
      </c>
      <c r="D25" s="105">
        <f>IF(A25=0,"", IF(AND(Angles!D25&gt;=-10, Angles!D25&lt;=10), 0, 1))</f>
        <v>1</v>
      </c>
      <c r="E25" s="2">
        <f>IF(A25=0,"", IF(AND(Angles!E25&gt;=-10, Angles!E25&lt;=10), 0, 1))</f>
        <v>1</v>
      </c>
      <c r="F25" s="105">
        <f>IF(A25=0,"", IF(Angles!F25&lt;0, 2, IF(Angles!F25&lt;=20, 1, IF(Angles!F25&lt;=60, 2, 3))))</f>
        <v>1</v>
      </c>
      <c r="G25" s="2">
        <f>IF(A25=0,"",IF(AND(Angles!G25&gt;=-10,Angles!G25&lt;=10),0,1))</f>
        <v>0</v>
      </c>
      <c r="H25" s="105">
        <f>IF(A25=0,"",IF(Angles!H25&lt;-20,2,IF(Angles!H25&lt;=20,1,IF(Angles!H25&lt;=60,2,IF(Angles!H25&lt;=90,3,4)))))</f>
        <v>1</v>
      </c>
      <c r="I25" s="2">
        <f>IF(A25=0,"",IF(AND(Angles!I25&gt;=-60,Angles!I25&lt;=60),0,1))</f>
        <v>0</v>
      </c>
      <c r="J25" s="105">
        <f>IF(A25=0,"",IF(Angles!J25&lt;-20,2,IF(Angles!J25&lt;=20,1,IF(Angles!J25&lt;=60,2,IF(Angles!J25&lt;=90,3,4)))))</f>
        <v>2</v>
      </c>
      <c r="K25" s="2">
        <f>IF(A25=0,"",IF(AND(Angles!K25&gt;=-60,Angles!K25&lt;=60),0,1))</f>
        <v>0</v>
      </c>
      <c r="L25" s="105">
        <f>IF(A25=0,"",IF(AND(Angles!L25&gt;=30,Angles!L25&lt;=170),1,2))</f>
        <v>1</v>
      </c>
      <c r="M25" s="2">
        <f>IF($A$3=0,"",IF(AND(Angles!M25&gt;=-60,Angles!M25&lt;=60),0,1))</f>
        <v>0</v>
      </c>
      <c r="N25" s="105">
        <f>IF(A25=0,"",IF(AND(Angles!N25&gt;=30,Angles!N25&lt;=170),1,2))</f>
        <v>1</v>
      </c>
      <c r="O25" s="2">
        <f>IF($A$3=0,"",IF(AND(Angles!O25&gt;=-60,Angles!O25&lt;=60),0,1))</f>
        <v>0</v>
      </c>
      <c r="P25" s="2">
        <f>IF(A25=0,"",IF(AND(Angles!P25&gt;=-15,Angles!P25&lt;=15),1,2))</f>
        <v>1</v>
      </c>
      <c r="Q25" s="2">
        <f>IF($A$3=0,"",IF(AND(Angles!Q25&gt;=-15,Angles!Q25&lt;=24),0,1))</f>
        <v>0</v>
      </c>
      <c r="R25" s="2">
        <f>IF(A25=0,"",IF(AND(Angles!R25&gt;=-15,Angles!R25&lt;=15),1,2))</f>
        <v>1</v>
      </c>
      <c r="S25" s="2">
        <f>IF($A$3=0,"",IF(AND(Angles!S25&gt;=-15,Angles!S25&lt;=24),0,1))</f>
        <v>0</v>
      </c>
      <c r="T25" s="2">
        <f>IF(A25=0,"",IF(Angles!T25&lt;=30,0,IF(Angles!T25&lt;=60,1,2)))</f>
        <v>1</v>
      </c>
      <c r="U25" s="2">
        <f>IF(A25=0,"",IF(Angles!U25&lt;=30,0,IF(Angles!U25&lt;=60,1,2)))</f>
        <v>2</v>
      </c>
      <c r="V25" s="105">
        <v>2</v>
      </c>
    </row>
    <row r="26" spans="1:22" x14ac:dyDescent="0.25">
      <c r="A26" s="106">
        <f>Angles!A26</f>
        <v>24</v>
      </c>
      <c r="B26" s="105">
        <f>IF(A26=0,"", IF(AND(Angles!B26&gt;=-45, Angles!B26&lt;=45), 0, 1))</f>
        <v>0</v>
      </c>
      <c r="C26" s="2">
        <f>IF(A26=0,"",IF(Angles!C26&gt;=0,IF(Angles!C26&lt;=20,1,2),2))</f>
        <v>1</v>
      </c>
      <c r="D26" s="105">
        <f>IF(A26=0,"", IF(AND(Angles!D26&gt;=-10, Angles!D26&lt;=10), 0, 1))</f>
        <v>1</v>
      </c>
      <c r="E26" s="2">
        <f>IF(A26=0,"", IF(AND(Angles!E26&gt;=-10, Angles!E26&lt;=10), 0, 1))</f>
        <v>1</v>
      </c>
      <c r="F26" s="105">
        <f>IF(A26=0,"", IF(Angles!F26&lt;0, 2, IF(Angles!F26&lt;=20, 1, IF(Angles!F26&lt;=60, 2, 3))))</f>
        <v>1</v>
      </c>
      <c r="G26" s="2">
        <f>IF(A26=0,"",IF(AND(Angles!G26&gt;=-10,Angles!G26&lt;=10),0,1))</f>
        <v>0</v>
      </c>
      <c r="H26" s="105">
        <f>IF(A26=0,"",IF(Angles!H26&lt;-20,2,IF(Angles!H26&lt;=20,1,IF(Angles!H26&lt;=60,2,IF(Angles!H26&lt;=90,3,4)))))</f>
        <v>1</v>
      </c>
      <c r="I26" s="2">
        <f>IF(A26=0,"",IF(AND(Angles!I26&gt;=-60,Angles!I26&lt;=60),0,1))</f>
        <v>0</v>
      </c>
      <c r="J26" s="105">
        <f>IF(A26=0,"",IF(Angles!J26&lt;-20,2,IF(Angles!J26&lt;=20,1,IF(Angles!J26&lt;=60,2,IF(Angles!J26&lt;=90,3,4)))))</f>
        <v>2</v>
      </c>
      <c r="K26" s="2">
        <f>IF(A26=0,"",IF(AND(Angles!K26&gt;=-60,Angles!K26&lt;=60),0,1))</f>
        <v>0</v>
      </c>
      <c r="L26" s="105">
        <f>IF(A26=0,"",IF(AND(Angles!L26&gt;=30,Angles!L26&lt;=170),1,2))</f>
        <v>1</v>
      </c>
      <c r="M26" s="2">
        <f>IF($A$3=0,"",IF(AND(Angles!M26&gt;=-60,Angles!M26&lt;=60),0,1))</f>
        <v>0</v>
      </c>
      <c r="N26" s="105">
        <f>IF(A26=0,"",IF(AND(Angles!N26&gt;=30,Angles!N26&lt;=170),1,2))</f>
        <v>1</v>
      </c>
      <c r="O26" s="2">
        <f>IF($A$3=0,"",IF(AND(Angles!O26&gt;=-60,Angles!O26&lt;=60),0,1))</f>
        <v>0</v>
      </c>
      <c r="P26" s="2">
        <f>IF(A26=0,"",IF(AND(Angles!P26&gt;=-15,Angles!P26&lt;=15),1,2))</f>
        <v>1</v>
      </c>
      <c r="Q26" s="2">
        <f>IF($A$3=0,"",IF(AND(Angles!Q26&gt;=-15,Angles!Q26&lt;=24),0,1))</f>
        <v>1</v>
      </c>
      <c r="R26" s="2">
        <f>IF(A26=0,"",IF(AND(Angles!R26&gt;=-15,Angles!R26&lt;=15),1,2))</f>
        <v>1</v>
      </c>
      <c r="S26" s="2">
        <f>IF($A$3=0,"",IF(AND(Angles!S26&gt;=-15,Angles!S26&lt;=24),0,1))</f>
        <v>1</v>
      </c>
      <c r="T26" s="2">
        <f>IF(A26=0,"",IF(Angles!T26&lt;=30,0,IF(Angles!T26&lt;=60,1,2)))</f>
        <v>1</v>
      </c>
      <c r="U26" s="2">
        <f>IF(A26=0,"",IF(Angles!U26&lt;=30,0,IF(Angles!U26&lt;=60,1,2)))</f>
        <v>2</v>
      </c>
      <c r="V26" s="105">
        <v>2</v>
      </c>
    </row>
    <row r="27" spans="1:22" x14ac:dyDescent="0.25">
      <c r="A27" s="106">
        <f>Angles!A27</f>
        <v>25</v>
      </c>
      <c r="B27" s="105">
        <f>IF(A27=0,"", IF(AND(Angles!B27&gt;=-45, Angles!B27&lt;=45), 0, 1))</f>
        <v>0</v>
      </c>
      <c r="C27" s="2">
        <f>IF(A27=0,"",IF(Angles!C27&gt;=0,IF(Angles!C27&lt;=20,1,2),2))</f>
        <v>1</v>
      </c>
      <c r="D27" s="105">
        <f>IF(A27=0,"", IF(AND(Angles!D27&gt;=-10, Angles!D27&lt;=10), 0, 1))</f>
        <v>1</v>
      </c>
      <c r="E27" s="2">
        <f>IF(A27=0,"", IF(AND(Angles!E27&gt;=-10, Angles!E27&lt;=10), 0, 1))</f>
        <v>1</v>
      </c>
      <c r="F27" s="105">
        <f>IF(A27=0,"", IF(Angles!F27&lt;0, 2, IF(Angles!F27&lt;=20, 1, IF(Angles!F27&lt;=60, 2, 3))))</f>
        <v>1</v>
      </c>
      <c r="G27" s="2">
        <f>IF(A27=0,"",IF(AND(Angles!G27&gt;=-10,Angles!G27&lt;=10),0,1))</f>
        <v>0</v>
      </c>
      <c r="H27" s="105">
        <f>IF(A27=0,"",IF(Angles!H27&lt;-20,2,IF(Angles!H27&lt;=20,1,IF(Angles!H27&lt;=60,2,IF(Angles!H27&lt;=90,3,4)))))</f>
        <v>1</v>
      </c>
      <c r="I27" s="2">
        <f>IF(A27=0,"",IF(AND(Angles!I27&gt;=-60,Angles!I27&lt;=60),0,1))</f>
        <v>0</v>
      </c>
      <c r="J27" s="105">
        <f>IF(A27=0,"",IF(Angles!J27&lt;-20,2,IF(Angles!J27&lt;=20,1,IF(Angles!J27&lt;=60,2,IF(Angles!J27&lt;=90,3,4)))))</f>
        <v>2</v>
      </c>
      <c r="K27" s="2">
        <f>IF(A27=0,"",IF(AND(Angles!K27&gt;=-60,Angles!K27&lt;=60),0,1))</f>
        <v>0</v>
      </c>
      <c r="L27" s="105">
        <f>IF(A27=0,"",IF(AND(Angles!L27&gt;=30,Angles!L27&lt;=170),1,2))</f>
        <v>1</v>
      </c>
      <c r="M27" s="2">
        <f>IF($A$3=0,"",IF(AND(Angles!M27&gt;=-60,Angles!M27&lt;=60),0,1))</f>
        <v>0</v>
      </c>
      <c r="N27" s="105">
        <f>IF(A27=0,"",IF(AND(Angles!N27&gt;=30,Angles!N27&lt;=170),1,2))</f>
        <v>1</v>
      </c>
      <c r="O27" s="2">
        <f>IF($A$3=0,"",IF(AND(Angles!O27&gt;=-60,Angles!O27&lt;=60),0,1))</f>
        <v>0</v>
      </c>
      <c r="P27" s="2">
        <f>IF(A27=0,"",IF(AND(Angles!P27&gt;=-15,Angles!P27&lt;=15),1,2))</f>
        <v>1</v>
      </c>
      <c r="Q27" s="2">
        <f>IF($A$3=0,"",IF(AND(Angles!Q27&gt;=-15,Angles!Q27&lt;=24),0,1))</f>
        <v>1</v>
      </c>
      <c r="R27" s="2">
        <f>IF(A27=0,"",IF(AND(Angles!R27&gt;=-15,Angles!R27&lt;=15),1,2))</f>
        <v>1</v>
      </c>
      <c r="S27" s="2">
        <f>IF($A$3=0,"",IF(AND(Angles!S27&gt;=-15,Angles!S27&lt;=24),0,1))</f>
        <v>1</v>
      </c>
      <c r="T27" s="2">
        <f>IF(A27=0,"",IF(Angles!T27&lt;=30,0,IF(Angles!T27&lt;=60,1,2)))</f>
        <v>1</v>
      </c>
      <c r="U27" s="2">
        <f>IF(A27=0,"",IF(Angles!U27&lt;=30,0,IF(Angles!U27&lt;=60,1,2)))</f>
        <v>2</v>
      </c>
      <c r="V27" s="105">
        <v>2</v>
      </c>
    </row>
    <row r="28" spans="1:22" x14ac:dyDescent="0.25">
      <c r="A28" s="106">
        <f>Angles!A28</f>
        <v>26</v>
      </c>
      <c r="B28" s="105">
        <f>IF(A28=0,"", IF(AND(Angles!B28&gt;=-45, Angles!B28&lt;=45), 0, 1))</f>
        <v>0</v>
      </c>
      <c r="C28" s="2">
        <f>IF(A28=0,"",IF(Angles!C28&gt;=0,IF(Angles!C28&lt;=20,1,2),2))</f>
        <v>1</v>
      </c>
      <c r="D28" s="105">
        <f>IF(A28=0,"", IF(AND(Angles!D28&gt;=-10, Angles!D28&lt;=10), 0, 1))</f>
        <v>1</v>
      </c>
      <c r="E28" s="2">
        <f>IF(A28=0,"", IF(AND(Angles!E28&gt;=-10, Angles!E28&lt;=10), 0, 1))</f>
        <v>1</v>
      </c>
      <c r="F28" s="105">
        <f>IF(A28=0,"", IF(Angles!F28&lt;0, 2, IF(Angles!F28&lt;=20, 1, IF(Angles!F28&lt;=60, 2, 3))))</f>
        <v>1</v>
      </c>
      <c r="G28" s="2">
        <f>IF(A28=0,"",IF(AND(Angles!G28&gt;=-10,Angles!G28&lt;=10),0,1))</f>
        <v>0</v>
      </c>
      <c r="H28" s="105">
        <f>IF(A28=0,"",IF(Angles!H28&lt;-20,2,IF(Angles!H28&lt;=20,1,IF(Angles!H28&lt;=60,2,IF(Angles!H28&lt;=90,3,4)))))</f>
        <v>2</v>
      </c>
      <c r="I28" s="2">
        <f>IF(A28=0,"",IF(AND(Angles!I28&gt;=-60,Angles!I28&lt;=60),0,1))</f>
        <v>0</v>
      </c>
      <c r="J28" s="105">
        <f>IF(A28=0,"",IF(Angles!J28&lt;-20,2,IF(Angles!J28&lt;=20,1,IF(Angles!J28&lt;=60,2,IF(Angles!J28&lt;=90,3,4)))))</f>
        <v>2</v>
      </c>
      <c r="K28" s="2">
        <f>IF(A28=0,"",IF(AND(Angles!K28&gt;=-60,Angles!K28&lt;=60),0,1))</f>
        <v>0</v>
      </c>
      <c r="L28" s="105">
        <f>IF(A28=0,"",IF(AND(Angles!L28&gt;=30,Angles!L28&lt;=170),1,2))</f>
        <v>1</v>
      </c>
      <c r="M28" s="2">
        <f>IF($A$3=0,"",IF(AND(Angles!M28&gt;=-60,Angles!M28&lt;=60),0,1))</f>
        <v>0</v>
      </c>
      <c r="N28" s="105">
        <f>IF(A28=0,"",IF(AND(Angles!N28&gt;=30,Angles!N28&lt;=170),1,2))</f>
        <v>1</v>
      </c>
      <c r="O28" s="2">
        <f>IF($A$3=0,"",IF(AND(Angles!O28&gt;=-60,Angles!O28&lt;=60),0,1))</f>
        <v>1</v>
      </c>
      <c r="P28" s="2">
        <f>IF(A28=0,"",IF(AND(Angles!P28&gt;=-15,Angles!P28&lt;=15),1,2))</f>
        <v>1</v>
      </c>
      <c r="Q28" s="2">
        <f>IF($A$3=0,"",IF(AND(Angles!Q28&gt;=-15,Angles!Q28&lt;=24),0,1))</f>
        <v>1</v>
      </c>
      <c r="R28" s="2">
        <f>IF(A28=0,"",IF(AND(Angles!R28&gt;=-15,Angles!R28&lt;=15),1,2))</f>
        <v>1</v>
      </c>
      <c r="S28" s="2">
        <f>IF($A$3=0,"",IF(AND(Angles!S28&gt;=-15,Angles!S28&lt;=24),0,1))</f>
        <v>1</v>
      </c>
      <c r="T28" s="2">
        <f>IF(A28=0,"",IF(Angles!T28&lt;=30,0,IF(Angles!T28&lt;=60,1,2)))</f>
        <v>1</v>
      </c>
      <c r="U28" s="2">
        <f>IF(A28=0,"",IF(Angles!U28&lt;=30,0,IF(Angles!U28&lt;=60,1,2)))</f>
        <v>2</v>
      </c>
      <c r="V28" s="105">
        <v>2</v>
      </c>
    </row>
    <row r="29" spans="1:22" x14ac:dyDescent="0.25">
      <c r="A29" s="106"/>
      <c r="F29" s="105"/>
      <c r="H29" s="105"/>
      <c r="J29" s="105"/>
      <c r="K29" s="2"/>
      <c r="L29" s="105"/>
      <c r="M29" s="2" t="str">
        <f>IF(B29=0,"",IF(AND(Angles!M29&gt;=-60,Angles!M29&lt;=60),0,1))</f>
        <v/>
      </c>
      <c r="N29" s="105"/>
      <c r="O29" s="2"/>
      <c r="P29" s="2"/>
      <c r="Q29" s="2"/>
      <c r="R29" s="2"/>
      <c r="S29" s="2"/>
      <c r="T29" s="2"/>
      <c r="U29" s="2"/>
      <c r="V29" s="105"/>
    </row>
    <row r="30" spans="1:22" x14ac:dyDescent="0.25">
      <c r="A30" s="106"/>
      <c r="F30" s="105"/>
      <c r="H30" s="105"/>
      <c r="J30" s="105"/>
      <c r="K30" s="2"/>
      <c r="L30" s="105"/>
      <c r="M30" s="2"/>
      <c r="N30" s="105"/>
      <c r="O30" s="2"/>
      <c r="P30" s="2"/>
      <c r="Q30" s="2"/>
      <c r="R30" s="2"/>
      <c r="S30" s="2"/>
      <c r="T30" s="2"/>
      <c r="U30" s="2"/>
      <c r="V30" s="105"/>
    </row>
    <row r="31" spans="1:22" x14ac:dyDescent="0.25">
      <c r="A31" s="106"/>
      <c r="F31" s="105"/>
      <c r="H31" s="105"/>
      <c r="J31" s="105"/>
      <c r="K31" s="2"/>
      <c r="L31" s="105"/>
      <c r="M31" s="2"/>
      <c r="N31" s="105"/>
      <c r="O31" s="2"/>
      <c r="P31" s="2"/>
      <c r="Q31" s="2"/>
      <c r="R31" s="2"/>
      <c r="S31" s="2"/>
      <c r="T31" s="2"/>
      <c r="U31" s="2"/>
      <c r="V31" s="105"/>
    </row>
    <row r="32" spans="1:22" x14ac:dyDescent="0.25">
      <c r="A32" s="106"/>
      <c r="F32" s="105"/>
      <c r="H32" s="105"/>
      <c r="J32" s="105"/>
      <c r="K32" s="2"/>
      <c r="L32" s="105"/>
      <c r="M32" s="2"/>
      <c r="N32" s="105"/>
      <c r="O32" s="2"/>
      <c r="P32" s="2"/>
      <c r="Q32" s="2"/>
      <c r="R32" s="2"/>
      <c r="S32" s="2"/>
      <c r="T32" s="2"/>
      <c r="U32" s="2"/>
      <c r="V32" s="105"/>
    </row>
    <row r="33" spans="1:22" x14ac:dyDescent="0.25">
      <c r="A33" s="106"/>
      <c r="F33" s="105"/>
      <c r="H33" s="105"/>
      <c r="J33" s="105"/>
      <c r="K33" s="2"/>
      <c r="L33" s="105"/>
      <c r="M33" s="2"/>
      <c r="N33" s="105"/>
      <c r="O33" s="2"/>
      <c r="P33" s="2"/>
      <c r="Q33" s="2"/>
      <c r="R33" s="2"/>
      <c r="S33" s="2"/>
      <c r="T33" s="2"/>
      <c r="U33" s="2"/>
      <c r="V33" s="105"/>
    </row>
    <row r="34" spans="1:22" x14ac:dyDescent="0.25">
      <c r="A34" s="106"/>
      <c r="F34" s="105"/>
      <c r="H34" s="105"/>
      <c r="J34" s="105"/>
      <c r="K34" s="2"/>
      <c r="L34" s="105"/>
      <c r="M34" s="2"/>
      <c r="N34" s="105"/>
      <c r="O34" s="2"/>
      <c r="P34" s="2"/>
      <c r="Q34" s="2"/>
      <c r="R34" s="2"/>
      <c r="S34" s="2"/>
      <c r="T34" s="2"/>
      <c r="U34" s="2"/>
      <c r="V34" s="105"/>
    </row>
    <row r="35" spans="1:22" x14ac:dyDescent="0.25">
      <c r="A35" s="106"/>
      <c r="F35" s="105"/>
      <c r="H35" s="105"/>
      <c r="J35" s="105"/>
      <c r="K35" s="2"/>
      <c r="L35" s="105"/>
      <c r="M35" s="2"/>
      <c r="N35" s="105"/>
      <c r="O35" s="2"/>
      <c r="P35" s="2"/>
      <c r="Q35" s="2"/>
      <c r="R35" s="2"/>
      <c r="S35" s="2"/>
      <c r="T35" s="2"/>
      <c r="U35" s="2"/>
      <c r="V35" s="105"/>
    </row>
    <row r="36" spans="1:22" x14ac:dyDescent="0.25">
      <c r="A36" s="106"/>
      <c r="F36" s="105"/>
      <c r="H36" s="105"/>
      <c r="J36" s="105"/>
      <c r="K36" s="2"/>
      <c r="L36" s="105"/>
      <c r="M36" s="2"/>
      <c r="N36" s="105"/>
      <c r="O36" s="2"/>
      <c r="P36" s="2"/>
      <c r="Q36" s="2"/>
      <c r="R36" s="2"/>
      <c r="S36" s="2"/>
      <c r="T36" s="2"/>
      <c r="U36" s="2"/>
      <c r="V36" s="105"/>
    </row>
    <row r="37" spans="1:22" x14ac:dyDescent="0.25">
      <c r="A37" s="106"/>
      <c r="F37" s="105"/>
      <c r="H37" s="105"/>
      <c r="J37" s="105"/>
      <c r="K37" s="2"/>
      <c r="L37" s="105"/>
      <c r="M37" s="2"/>
      <c r="N37" s="105"/>
      <c r="O37" s="2"/>
      <c r="P37" s="2"/>
      <c r="Q37" s="2"/>
      <c r="R37" s="2"/>
      <c r="S37" s="2"/>
      <c r="T37" s="2"/>
      <c r="U37" s="2"/>
      <c r="V37" s="105"/>
    </row>
    <row r="38" spans="1:22" x14ac:dyDescent="0.25">
      <c r="A38" s="106"/>
      <c r="F38" s="105"/>
      <c r="H38" s="105"/>
      <c r="J38" s="105"/>
      <c r="K38" s="2"/>
      <c r="L38" s="105"/>
      <c r="M38" s="2"/>
      <c r="N38" s="105"/>
      <c r="O38" s="2"/>
      <c r="P38" s="2"/>
      <c r="Q38" s="2"/>
      <c r="R38" s="2"/>
      <c r="S38" s="2"/>
      <c r="T38" s="2"/>
      <c r="U38" s="2"/>
      <c r="V38" s="105"/>
    </row>
    <row r="39" spans="1:22" x14ac:dyDescent="0.25">
      <c r="A39" s="106"/>
      <c r="F39" s="105"/>
      <c r="H39" s="105"/>
      <c r="J39" s="105"/>
      <c r="K39" s="2"/>
      <c r="L39" s="105"/>
      <c r="M39" s="2"/>
      <c r="N39" s="105"/>
      <c r="O39" s="2"/>
      <c r="P39" s="2"/>
      <c r="Q39" s="2"/>
      <c r="R39" s="2"/>
      <c r="S39" s="2"/>
      <c r="T39" s="2"/>
      <c r="U39" s="2"/>
      <c r="V39" s="105"/>
    </row>
    <row r="40" spans="1:22" x14ac:dyDescent="0.25">
      <c r="A40" s="106"/>
      <c r="F40" s="105"/>
      <c r="H40" s="105"/>
      <c r="J40" s="105"/>
      <c r="K40" s="2"/>
      <c r="L40" s="105"/>
      <c r="M40" s="2"/>
      <c r="N40" s="105"/>
      <c r="O40" s="2"/>
      <c r="P40" s="2"/>
      <c r="Q40" s="2"/>
      <c r="R40" s="2"/>
      <c r="S40" s="2"/>
      <c r="T40" s="2"/>
      <c r="U40" s="2"/>
      <c r="V40" s="105"/>
    </row>
    <row r="41" spans="1:22" x14ac:dyDescent="0.25">
      <c r="A41" s="106"/>
      <c r="F41" s="105"/>
      <c r="H41" s="105"/>
      <c r="J41" s="105"/>
      <c r="K41" s="2"/>
      <c r="L41" s="105"/>
      <c r="M41" s="2"/>
      <c r="N41" s="105"/>
      <c r="O41" s="2"/>
      <c r="P41" s="2"/>
      <c r="Q41" s="2"/>
      <c r="R41" s="2"/>
      <c r="S41" s="2"/>
      <c r="T41" s="2"/>
      <c r="U41" s="2"/>
      <c r="V41" s="105"/>
    </row>
    <row r="42" spans="1:22" x14ac:dyDescent="0.25">
      <c r="A42" s="106"/>
      <c r="F42" s="105"/>
      <c r="H42" s="105"/>
      <c r="J42" s="105"/>
      <c r="K42" s="2"/>
      <c r="L42" s="105"/>
      <c r="M42" s="2"/>
      <c r="N42" s="105"/>
      <c r="O42" s="2"/>
      <c r="P42" s="2"/>
      <c r="Q42" s="2"/>
      <c r="R42" s="2"/>
      <c r="S42" s="2"/>
      <c r="T42" s="2"/>
      <c r="U42" s="2"/>
      <c r="V42" s="105"/>
    </row>
    <row r="43" spans="1:22" x14ac:dyDescent="0.25">
      <c r="A43" s="106"/>
      <c r="F43" s="105"/>
      <c r="H43" s="105"/>
      <c r="J43" s="105"/>
      <c r="K43" s="2"/>
      <c r="L43" s="105"/>
      <c r="M43" s="2"/>
      <c r="N43" s="105"/>
      <c r="O43" s="2"/>
      <c r="P43" s="2"/>
      <c r="Q43" s="2"/>
      <c r="R43" s="2"/>
      <c r="S43" s="2"/>
      <c r="T43" s="2"/>
      <c r="U43" s="2"/>
      <c r="V43" s="105"/>
    </row>
    <row r="44" spans="1:22" x14ac:dyDescent="0.25">
      <c r="A44" s="106"/>
      <c r="F44" s="105"/>
      <c r="H44" s="105"/>
      <c r="J44" s="105"/>
      <c r="K44" s="2"/>
      <c r="L44" s="105"/>
      <c r="M44" s="2"/>
      <c r="N44" s="105"/>
      <c r="O44" s="2"/>
      <c r="P44" s="2"/>
      <c r="Q44" s="2"/>
      <c r="R44" s="2"/>
      <c r="S44" s="2"/>
      <c r="T44" s="2"/>
      <c r="U44" s="2"/>
      <c r="V44" s="105"/>
    </row>
    <row r="45" spans="1:22" x14ac:dyDescent="0.25">
      <c r="A45" s="106"/>
      <c r="F45" s="105"/>
      <c r="H45" s="105"/>
      <c r="J45" s="105"/>
      <c r="K45" s="2"/>
      <c r="L45" s="105"/>
      <c r="M45" s="2"/>
      <c r="N45" s="105"/>
      <c r="O45" s="2"/>
      <c r="P45" s="2"/>
      <c r="Q45" s="2"/>
      <c r="R45" s="2"/>
      <c r="S45" s="2"/>
      <c r="T45" s="2"/>
      <c r="U45" s="2"/>
      <c r="V45" s="105"/>
    </row>
    <row r="46" spans="1:22" x14ac:dyDescent="0.25">
      <c r="A46" s="106"/>
      <c r="F46" s="105"/>
      <c r="H46" s="105"/>
      <c r="J46" s="105"/>
      <c r="K46" s="2"/>
      <c r="L46" s="105"/>
      <c r="M46" s="2"/>
      <c r="N46" s="105"/>
      <c r="O46" s="2"/>
      <c r="P46" s="2"/>
      <c r="Q46" s="2"/>
      <c r="R46" s="2"/>
      <c r="S46" s="2"/>
      <c r="T46" s="2"/>
      <c r="U46" s="2"/>
      <c r="V46" s="105"/>
    </row>
    <row r="47" spans="1:22" x14ac:dyDescent="0.25">
      <c r="A47" s="106"/>
      <c r="F47" s="105"/>
      <c r="H47" s="105"/>
      <c r="J47" s="105"/>
      <c r="K47" s="2"/>
      <c r="L47" s="105"/>
      <c r="M47" s="2"/>
      <c r="N47" s="105"/>
      <c r="O47" s="2"/>
      <c r="P47" s="2"/>
      <c r="Q47" s="2"/>
      <c r="R47" s="2"/>
      <c r="S47" s="2"/>
      <c r="T47" s="2"/>
      <c r="U47" s="2"/>
      <c r="V47" s="105"/>
    </row>
    <row r="48" spans="1:22" x14ac:dyDescent="0.25">
      <c r="A48" s="106"/>
      <c r="F48" s="105"/>
      <c r="H48" s="105"/>
      <c r="J48" s="105"/>
      <c r="K48" s="2"/>
      <c r="L48" s="105"/>
      <c r="M48" s="2"/>
      <c r="N48" s="105"/>
      <c r="O48" s="2"/>
      <c r="P48" s="2"/>
      <c r="Q48" s="2"/>
      <c r="R48" s="2"/>
      <c r="S48" s="2"/>
      <c r="T48" s="2"/>
      <c r="U48" s="2"/>
      <c r="V48" s="105"/>
    </row>
    <row r="49" spans="1:22" x14ac:dyDescent="0.25">
      <c r="A49" s="106"/>
      <c r="F49" s="105"/>
      <c r="H49" s="105"/>
      <c r="J49" s="105"/>
      <c r="K49" s="2"/>
      <c r="L49" s="105"/>
      <c r="M49" s="2"/>
      <c r="N49" s="105"/>
      <c r="O49" s="2"/>
      <c r="P49" s="2"/>
      <c r="Q49" s="2"/>
      <c r="R49" s="2"/>
      <c r="S49" s="2"/>
      <c r="T49" s="2"/>
      <c r="U49" s="2"/>
      <c r="V49" s="105"/>
    </row>
    <row r="50" spans="1:22" x14ac:dyDescent="0.25">
      <c r="A50" s="106"/>
      <c r="F50" s="105"/>
      <c r="H50" s="105"/>
      <c r="J50" s="105"/>
      <c r="K50" s="2"/>
      <c r="L50" s="105"/>
      <c r="M50" s="2"/>
      <c r="N50" s="105"/>
      <c r="O50" s="2"/>
      <c r="P50" s="2"/>
      <c r="Q50" s="2"/>
      <c r="R50" s="2"/>
      <c r="S50" s="2"/>
      <c r="T50" s="2"/>
      <c r="U50" s="2"/>
      <c r="V50" s="105"/>
    </row>
    <row r="51" spans="1:22" x14ac:dyDescent="0.25">
      <c r="A51" s="106"/>
      <c r="F51" s="105"/>
      <c r="H51" s="105"/>
      <c r="J51" s="105"/>
      <c r="K51" s="2"/>
      <c r="L51" s="105"/>
      <c r="M51" s="2"/>
      <c r="N51" s="105"/>
      <c r="O51" s="2"/>
      <c r="P51" s="2"/>
      <c r="Q51" s="2"/>
      <c r="R51" s="2"/>
      <c r="S51" s="2"/>
      <c r="T51" s="2"/>
      <c r="U51" s="2"/>
      <c r="V51" s="105"/>
    </row>
    <row r="52" spans="1:22" x14ac:dyDescent="0.25">
      <c r="A52" s="106"/>
      <c r="F52" s="105"/>
      <c r="H52" s="105"/>
      <c r="J52" s="105"/>
      <c r="K52" s="2"/>
      <c r="L52" s="105"/>
      <c r="M52" s="2"/>
      <c r="N52" s="105"/>
      <c r="O52" s="2"/>
      <c r="P52" s="2"/>
      <c r="Q52" s="2"/>
      <c r="R52" s="2"/>
      <c r="S52" s="2"/>
      <c r="T52" s="2"/>
      <c r="U52" s="2"/>
      <c r="V52" s="105"/>
    </row>
    <row r="53" spans="1:22" x14ac:dyDescent="0.25">
      <c r="A53" s="106"/>
      <c r="F53" s="105"/>
      <c r="H53" s="105"/>
      <c r="J53" s="105"/>
      <c r="K53" s="2"/>
      <c r="L53" s="105"/>
      <c r="M53" s="2"/>
      <c r="N53" s="105"/>
      <c r="O53" s="2"/>
      <c r="P53" s="2"/>
      <c r="Q53" s="2"/>
      <c r="R53" s="2"/>
      <c r="S53" s="2"/>
      <c r="T53" s="2"/>
      <c r="U53" s="2"/>
      <c r="V53" s="105"/>
    </row>
    <row r="54" spans="1:22" x14ac:dyDescent="0.25">
      <c r="A54" s="106"/>
      <c r="F54" s="105"/>
      <c r="H54" s="105"/>
      <c r="J54" s="105"/>
      <c r="K54" s="2"/>
      <c r="L54" s="105"/>
      <c r="M54" s="2"/>
      <c r="N54" s="105"/>
      <c r="O54" s="2"/>
      <c r="P54" s="2"/>
      <c r="Q54" s="2"/>
      <c r="R54" s="2"/>
      <c r="S54" s="2"/>
      <c r="T54" s="2"/>
      <c r="U54" s="2"/>
      <c r="V54" s="105"/>
    </row>
    <row r="55" spans="1:22" x14ac:dyDescent="0.25">
      <c r="A55" s="106"/>
      <c r="F55" s="105"/>
      <c r="H55" s="105"/>
      <c r="J55" s="105"/>
      <c r="K55" s="2"/>
      <c r="L55" s="105"/>
      <c r="M55" s="2"/>
      <c r="N55" s="105"/>
      <c r="O55" s="2"/>
      <c r="P55" s="2"/>
      <c r="Q55" s="2"/>
      <c r="R55" s="2"/>
      <c r="S55" s="2"/>
      <c r="T55" s="2"/>
      <c r="U55" s="2"/>
      <c r="V55" s="105"/>
    </row>
    <row r="56" spans="1:22" x14ac:dyDescent="0.25">
      <c r="A56" s="106"/>
      <c r="F56" s="105"/>
      <c r="H56" s="105"/>
      <c r="J56" s="105"/>
      <c r="K56" s="2"/>
      <c r="L56" s="105"/>
      <c r="M56" s="2"/>
      <c r="N56" s="105"/>
      <c r="O56" s="2"/>
      <c r="P56" s="2"/>
      <c r="Q56" s="2"/>
      <c r="R56" s="2"/>
      <c r="S56" s="2"/>
      <c r="T56" s="2"/>
      <c r="U56" s="2"/>
      <c r="V56" s="105"/>
    </row>
    <row r="57" spans="1:22" x14ac:dyDescent="0.25">
      <c r="A57" s="106"/>
      <c r="F57" s="105"/>
      <c r="H57" s="105"/>
      <c r="J57" s="105"/>
      <c r="K57" s="2"/>
      <c r="L57" s="105"/>
      <c r="M57" s="2"/>
      <c r="N57" s="105"/>
      <c r="O57" s="2"/>
      <c r="P57" s="2"/>
      <c r="Q57" s="2"/>
      <c r="R57" s="2"/>
      <c r="S57" s="2"/>
      <c r="T57" s="2"/>
      <c r="U57" s="2"/>
      <c r="V57" s="105"/>
    </row>
    <row r="58" spans="1:22" x14ac:dyDescent="0.25">
      <c r="A58" s="106"/>
      <c r="F58" s="105"/>
      <c r="H58" s="105"/>
      <c r="J58" s="105"/>
      <c r="K58" s="2"/>
      <c r="L58" s="105"/>
      <c r="M58" s="2"/>
      <c r="N58" s="105"/>
      <c r="O58" s="2"/>
      <c r="P58" s="2"/>
      <c r="Q58" s="2"/>
      <c r="R58" s="2"/>
      <c r="S58" s="2"/>
      <c r="T58" s="2"/>
      <c r="U58" s="2"/>
      <c r="V58" s="105"/>
    </row>
    <row r="59" spans="1:22" x14ac:dyDescent="0.25">
      <c r="A59" s="106"/>
      <c r="F59" s="105"/>
      <c r="H59" s="105"/>
      <c r="J59" s="105"/>
      <c r="K59" s="2"/>
      <c r="L59" s="105"/>
      <c r="M59" s="2"/>
      <c r="N59" s="105"/>
      <c r="O59" s="2"/>
      <c r="P59" s="2"/>
      <c r="Q59" s="2"/>
      <c r="R59" s="2"/>
      <c r="S59" s="2"/>
      <c r="T59" s="2"/>
      <c r="U59" s="2"/>
      <c r="V59" s="105"/>
    </row>
    <row r="60" spans="1:22" x14ac:dyDescent="0.25">
      <c r="A60" s="106"/>
      <c r="F60" s="105"/>
      <c r="H60" s="105"/>
      <c r="J60" s="105"/>
      <c r="K60" s="2"/>
      <c r="L60" s="105"/>
      <c r="M60" s="2"/>
      <c r="N60" s="105"/>
      <c r="O60" s="2"/>
      <c r="P60" s="2"/>
      <c r="Q60" s="2"/>
      <c r="R60" s="2"/>
      <c r="S60" s="2"/>
      <c r="T60" s="2"/>
      <c r="U60" s="2"/>
      <c r="V60" s="105"/>
    </row>
    <row r="61" spans="1:22" x14ac:dyDescent="0.25">
      <c r="A61" s="106"/>
      <c r="F61" s="105"/>
      <c r="H61" s="105"/>
      <c r="J61" s="105"/>
      <c r="K61" s="2"/>
      <c r="L61" s="105"/>
      <c r="M61" s="2"/>
      <c r="N61" s="105"/>
      <c r="O61" s="2"/>
      <c r="P61" s="2"/>
      <c r="Q61" s="2"/>
      <c r="R61" s="2"/>
      <c r="S61" s="2"/>
      <c r="T61" s="2"/>
      <c r="U61" s="2"/>
      <c r="V61" s="105"/>
    </row>
    <row r="62" spans="1:22" x14ac:dyDescent="0.25">
      <c r="A62" s="106"/>
      <c r="F62" s="105"/>
      <c r="H62" s="105"/>
      <c r="J62" s="105"/>
      <c r="K62" s="2"/>
      <c r="L62" s="105"/>
      <c r="M62" s="2"/>
      <c r="N62" s="105"/>
      <c r="O62" s="2"/>
      <c r="P62" s="2"/>
      <c r="Q62" s="2"/>
      <c r="R62" s="2"/>
      <c r="S62" s="2"/>
      <c r="T62" s="2"/>
      <c r="U62" s="2"/>
      <c r="V62" s="105"/>
    </row>
    <row r="63" spans="1:22" x14ac:dyDescent="0.25">
      <c r="A63" s="106"/>
      <c r="F63" s="105"/>
      <c r="H63" s="105"/>
      <c r="J63" s="105"/>
      <c r="K63" s="2"/>
      <c r="L63" s="105"/>
      <c r="M63" s="2"/>
      <c r="N63" s="105"/>
      <c r="O63" s="2"/>
      <c r="P63" s="2"/>
      <c r="Q63" s="2"/>
      <c r="R63" s="2"/>
      <c r="S63" s="2"/>
      <c r="T63" s="2"/>
      <c r="U63" s="2"/>
      <c r="V63" s="105"/>
    </row>
    <row r="64" spans="1:22" x14ac:dyDescent="0.25">
      <c r="A64" s="106"/>
      <c r="F64" s="105"/>
      <c r="H64" s="105"/>
      <c r="J64" s="105"/>
      <c r="K64" s="2"/>
      <c r="L64" s="105"/>
      <c r="M64" s="2"/>
      <c r="N64" s="105"/>
      <c r="O64" s="2"/>
      <c r="P64" s="2"/>
      <c r="Q64" s="2"/>
      <c r="R64" s="2"/>
      <c r="S64" s="2"/>
      <c r="T64" s="2"/>
      <c r="U64" s="2"/>
      <c r="V64" s="105"/>
    </row>
    <row r="65" spans="1:22" x14ac:dyDescent="0.25">
      <c r="A65" s="106"/>
      <c r="F65" s="105"/>
      <c r="H65" s="105"/>
      <c r="J65" s="105"/>
      <c r="K65" s="2"/>
      <c r="L65" s="105"/>
      <c r="M65" s="2"/>
      <c r="N65" s="105"/>
      <c r="O65" s="2"/>
      <c r="P65" s="2"/>
      <c r="Q65" s="2"/>
      <c r="R65" s="2"/>
      <c r="S65" s="2"/>
      <c r="T65" s="2"/>
      <c r="U65" s="2"/>
      <c r="V65" s="105"/>
    </row>
    <row r="66" spans="1:22" x14ac:dyDescent="0.25">
      <c r="A66" s="106"/>
      <c r="F66" s="105"/>
      <c r="H66" s="105"/>
      <c r="J66" s="105"/>
      <c r="K66" s="2"/>
      <c r="L66" s="105"/>
      <c r="M66" s="2"/>
      <c r="N66" s="105"/>
      <c r="O66" s="2"/>
      <c r="P66" s="2"/>
      <c r="Q66" s="2"/>
      <c r="R66" s="2"/>
      <c r="S66" s="2"/>
      <c r="T66" s="2"/>
      <c r="U66" s="2"/>
      <c r="V66" s="105"/>
    </row>
    <row r="67" spans="1:22" x14ac:dyDescent="0.25">
      <c r="A67" s="106"/>
      <c r="F67" s="105"/>
      <c r="H67" s="105"/>
      <c r="J67" s="105"/>
      <c r="K67" s="2"/>
      <c r="L67" s="105"/>
      <c r="M67" s="2"/>
      <c r="N67" s="105"/>
      <c r="O67" s="2"/>
      <c r="P67" s="2"/>
      <c r="Q67" s="2"/>
      <c r="R67" s="2"/>
      <c r="S67" s="2"/>
      <c r="T67" s="2"/>
      <c r="U67" s="2"/>
      <c r="V67" s="105"/>
    </row>
    <row r="68" spans="1:22" x14ac:dyDescent="0.25">
      <c r="A68" s="106"/>
      <c r="F68" s="105"/>
      <c r="H68" s="105"/>
      <c r="J68" s="105"/>
      <c r="K68" s="2"/>
      <c r="L68" s="105"/>
      <c r="M68" s="2"/>
      <c r="N68" s="105"/>
      <c r="O68" s="2"/>
      <c r="P68" s="2"/>
      <c r="Q68" s="2"/>
      <c r="R68" s="2"/>
      <c r="S68" s="2"/>
      <c r="T68" s="2"/>
      <c r="U68" s="2"/>
      <c r="V68" s="105"/>
    </row>
    <row r="69" spans="1:22" x14ac:dyDescent="0.25">
      <c r="A69" s="106"/>
      <c r="F69" s="105"/>
      <c r="H69" s="105"/>
      <c r="J69" s="105"/>
      <c r="K69" s="2"/>
      <c r="L69" s="105"/>
      <c r="M69" s="2"/>
      <c r="N69" s="105"/>
      <c r="O69" s="2"/>
      <c r="P69" s="2"/>
      <c r="Q69" s="2"/>
      <c r="R69" s="2"/>
      <c r="S69" s="2"/>
      <c r="T69" s="2"/>
      <c r="U69" s="2"/>
      <c r="V69" s="105"/>
    </row>
    <row r="70" spans="1:22" x14ac:dyDescent="0.25">
      <c r="A70" s="106"/>
      <c r="F70" s="105"/>
      <c r="H70" s="105"/>
      <c r="J70" s="105"/>
      <c r="K70" s="2"/>
      <c r="L70" s="105"/>
      <c r="M70" s="2"/>
      <c r="N70" s="105"/>
      <c r="O70" s="2"/>
      <c r="P70" s="2"/>
      <c r="Q70" s="2"/>
      <c r="R70" s="2"/>
      <c r="S70" s="2"/>
      <c r="T70" s="2"/>
      <c r="U70" s="2"/>
      <c r="V70" s="105"/>
    </row>
    <row r="71" spans="1:22" x14ac:dyDescent="0.25">
      <c r="A71" s="106"/>
      <c r="F71" s="105"/>
      <c r="H71" s="105"/>
      <c r="J71" s="105"/>
      <c r="K71" s="2"/>
      <c r="L71" s="105"/>
      <c r="M71" s="2"/>
      <c r="N71" s="105"/>
      <c r="O71" s="2"/>
      <c r="P71" s="2"/>
      <c r="Q71" s="2"/>
      <c r="R71" s="2"/>
      <c r="S71" s="2"/>
      <c r="T71" s="2"/>
      <c r="U71" s="2"/>
      <c r="V71" s="105"/>
    </row>
    <row r="72" spans="1:22" x14ac:dyDescent="0.25">
      <c r="A72" s="106"/>
      <c r="F72" s="105"/>
      <c r="H72" s="105"/>
      <c r="J72" s="105"/>
      <c r="K72" s="2"/>
      <c r="L72" s="105"/>
      <c r="M72" s="2"/>
      <c r="N72" s="105"/>
      <c r="O72" s="2"/>
      <c r="P72" s="2"/>
      <c r="Q72" s="2"/>
      <c r="R72" s="2"/>
      <c r="S72" s="2"/>
      <c r="T72" s="2"/>
      <c r="U72" s="2"/>
      <c r="V72" s="105"/>
    </row>
    <row r="73" spans="1:22" x14ac:dyDescent="0.25">
      <c r="A73" s="106"/>
      <c r="F73" s="105"/>
      <c r="H73" s="105"/>
      <c r="J73" s="105"/>
      <c r="K73" s="2"/>
      <c r="L73" s="105"/>
      <c r="M73" s="2"/>
      <c r="N73" s="105"/>
      <c r="O73" s="2"/>
      <c r="P73" s="2"/>
      <c r="Q73" s="2"/>
      <c r="R73" s="2"/>
      <c r="S73" s="2"/>
      <c r="T73" s="2"/>
      <c r="U73" s="2"/>
      <c r="V73" s="105"/>
    </row>
    <row r="74" spans="1:22" x14ac:dyDescent="0.25">
      <c r="A74" s="106"/>
      <c r="F74" s="105"/>
      <c r="H74" s="105"/>
      <c r="J74" s="105"/>
      <c r="K74" s="2"/>
      <c r="L74" s="105"/>
      <c r="M74" s="2"/>
      <c r="N74" s="105"/>
      <c r="O74" s="2"/>
      <c r="P74" s="2"/>
      <c r="Q74" s="2"/>
      <c r="R74" s="2"/>
      <c r="S74" s="2"/>
      <c r="T74" s="2"/>
      <c r="U74" s="2"/>
      <c r="V74" s="105"/>
    </row>
    <row r="75" spans="1:22" x14ac:dyDescent="0.25">
      <c r="A75" s="106"/>
      <c r="F75" s="105"/>
      <c r="H75" s="105"/>
      <c r="J75" s="105"/>
      <c r="K75" s="2"/>
      <c r="L75" s="105"/>
      <c r="M75" s="2"/>
      <c r="N75" s="105"/>
      <c r="O75" s="2"/>
      <c r="P75" s="2"/>
      <c r="Q75" s="2"/>
      <c r="R75" s="2"/>
      <c r="S75" s="2"/>
      <c r="T75" s="2"/>
      <c r="U75" s="2"/>
      <c r="V75" s="105"/>
    </row>
    <row r="76" spans="1:22" x14ac:dyDescent="0.25">
      <c r="A76" s="106"/>
      <c r="F76" s="105"/>
      <c r="H76" s="105"/>
      <c r="J76" s="105"/>
      <c r="K76" s="2"/>
      <c r="L76" s="105"/>
      <c r="M76" s="2"/>
      <c r="N76" s="105"/>
      <c r="O76" s="2"/>
      <c r="P76" s="2"/>
      <c r="Q76" s="2"/>
      <c r="R76" s="2"/>
      <c r="S76" s="2"/>
      <c r="T76" s="2"/>
      <c r="U76" s="2"/>
      <c r="V76" s="105"/>
    </row>
    <row r="77" spans="1:22" x14ac:dyDescent="0.25">
      <c r="A77" s="106"/>
      <c r="F77" s="105"/>
      <c r="H77" s="105"/>
      <c r="J77" s="105"/>
      <c r="K77" s="2"/>
      <c r="L77" s="105"/>
      <c r="M77" s="2"/>
      <c r="N77" s="105"/>
      <c r="O77" s="2"/>
      <c r="P77" s="2"/>
      <c r="Q77" s="2"/>
      <c r="R77" s="2"/>
      <c r="S77" s="2"/>
      <c r="T77" s="2"/>
      <c r="U77" s="2"/>
      <c r="V77" s="105"/>
    </row>
    <row r="78" spans="1:22" x14ac:dyDescent="0.25">
      <c r="A78" s="106"/>
      <c r="F78" s="105"/>
      <c r="H78" s="105"/>
      <c r="J78" s="105"/>
      <c r="K78" s="2"/>
      <c r="L78" s="105"/>
      <c r="M78" s="2"/>
      <c r="N78" s="105"/>
      <c r="O78" s="2"/>
      <c r="P78" s="2"/>
      <c r="Q78" s="2"/>
      <c r="R78" s="2"/>
      <c r="S78" s="2"/>
      <c r="T78" s="2"/>
      <c r="U78" s="2"/>
      <c r="V78" s="105"/>
    </row>
    <row r="79" spans="1:22" x14ac:dyDescent="0.25">
      <c r="A79" s="106"/>
      <c r="F79" s="105"/>
      <c r="H79" s="105"/>
      <c r="J79" s="105"/>
      <c r="K79" s="2"/>
      <c r="L79" s="105"/>
      <c r="M79" s="2"/>
      <c r="N79" s="105"/>
      <c r="O79" s="2"/>
      <c r="P79" s="2"/>
      <c r="Q79" s="2"/>
      <c r="R79" s="2"/>
      <c r="S79" s="2"/>
      <c r="T79" s="2"/>
      <c r="U79" s="2"/>
      <c r="V79" s="105"/>
    </row>
    <row r="80" spans="1:22" x14ac:dyDescent="0.25">
      <c r="A80" s="106"/>
      <c r="F80" s="105"/>
      <c r="H80" s="105"/>
      <c r="J80" s="105"/>
      <c r="K80" s="2"/>
      <c r="L80" s="105"/>
      <c r="M80" s="2"/>
      <c r="N80" s="105"/>
      <c r="O80" s="2"/>
      <c r="P80" s="2"/>
      <c r="Q80" s="2"/>
      <c r="R80" s="2"/>
      <c r="S80" s="2"/>
      <c r="T80" s="2"/>
      <c r="U80" s="2"/>
      <c r="V80" s="105"/>
    </row>
    <row r="81" spans="1:22" x14ac:dyDescent="0.25">
      <c r="A81" s="106"/>
      <c r="F81" s="105"/>
      <c r="H81" s="105"/>
      <c r="J81" s="105"/>
      <c r="K81" s="2"/>
      <c r="L81" s="105"/>
      <c r="M81" s="2"/>
      <c r="N81" s="105"/>
      <c r="O81" s="2"/>
      <c r="P81" s="2"/>
      <c r="Q81" s="2"/>
      <c r="R81" s="2"/>
      <c r="S81" s="2"/>
      <c r="T81" s="2"/>
      <c r="U81" s="2"/>
      <c r="V81" s="105"/>
    </row>
    <row r="82" spans="1:22" x14ac:dyDescent="0.25">
      <c r="A82" s="106"/>
      <c r="F82" s="105"/>
      <c r="H82" s="105"/>
      <c r="J82" s="105"/>
      <c r="K82" s="2"/>
      <c r="L82" s="105"/>
      <c r="M82" s="2"/>
      <c r="N82" s="105"/>
      <c r="O82" s="2"/>
      <c r="P82" s="2"/>
      <c r="Q82" s="2"/>
      <c r="R82" s="2"/>
      <c r="S82" s="2"/>
      <c r="T82" s="2"/>
      <c r="U82" s="2"/>
      <c r="V82" s="105"/>
    </row>
    <row r="83" spans="1:22" x14ac:dyDescent="0.25">
      <c r="A83" s="106"/>
      <c r="F83" s="105"/>
      <c r="H83" s="105"/>
      <c r="J83" s="105"/>
      <c r="K83" s="2"/>
      <c r="L83" s="105"/>
      <c r="M83" s="2"/>
      <c r="N83" s="105"/>
      <c r="O83" s="2"/>
      <c r="P83" s="2"/>
      <c r="Q83" s="2"/>
      <c r="R83" s="2"/>
      <c r="S83" s="2"/>
      <c r="T83" s="2"/>
      <c r="U83" s="2"/>
      <c r="V83" s="105"/>
    </row>
    <row r="84" spans="1:22" x14ac:dyDescent="0.25">
      <c r="A84" s="106"/>
      <c r="F84" s="105"/>
      <c r="H84" s="105"/>
      <c r="J84" s="105"/>
      <c r="K84" s="2"/>
      <c r="L84" s="105"/>
      <c r="M84" s="2"/>
      <c r="N84" s="105"/>
      <c r="O84" s="2"/>
      <c r="P84" s="2"/>
      <c r="Q84" s="2"/>
      <c r="R84" s="2"/>
      <c r="S84" s="2"/>
      <c r="T84" s="2"/>
      <c r="U84" s="2"/>
      <c r="V84" s="105"/>
    </row>
    <row r="85" spans="1:22" x14ac:dyDescent="0.25">
      <c r="A85" s="106"/>
      <c r="F85" s="105"/>
      <c r="H85" s="105"/>
      <c r="J85" s="105"/>
      <c r="K85" s="2"/>
      <c r="L85" s="105"/>
      <c r="M85" s="2"/>
      <c r="N85" s="105"/>
      <c r="O85" s="2"/>
      <c r="P85" s="2"/>
      <c r="Q85" s="2"/>
      <c r="R85" s="2"/>
      <c r="S85" s="2"/>
      <c r="T85" s="2"/>
      <c r="U85" s="2"/>
      <c r="V85" s="105"/>
    </row>
    <row r="86" spans="1:22" x14ac:dyDescent="0.25">
      <c r="A86" s="106"/>
      <c r="F86" s="105"/>
      <c r="H86" s="105"/>
      <c r="J86" s="105"/>
      <c r="K86" s="2"/>
      <c r="L86" s="105"/>
      <c r="M86" s="2"/>
      <c r="N86" s="105"/>
      <c r="O86" s="2"/>
      <c r="P86" s="2"/>
      <c r="Q86" s="2"/>
      <c r="R86" s="2"/>
      <c r="S86" s="2"/>
      <c r="T86" s="2"/>
      <c r="U86" s="2"/>
      <c r="V86" s="105"/>
    </row>
    <row r="87" spans="1:22" x14ac:dyDescent="0.25">
      <c r="A87" s="106"/>
      <c r="F87" s="105"/>
      <c r="H87" s="105"/>
      <c r="J87" s="105"/>
      <c r="K87" s="2"/>
      <c r="L87" s="105"/>
      <c r="M87" s="2"/>
      <c r="N87" s="105"/>
      <c r="O87" s="2"/>
      <c r="P87" s="2"/>
      <c r="Q87" s="2"/>
      <c r="R87" s="2"/>
      <c r="S87" s="2"/>
      <c r="T87" s="2"/>
      <c r="U87" s="2"/>
      <c r="V87" s="105"/>
    </row>
    <row r="88" spans="1:22" x14ac:dyDescent="0.25">
      <c r="A88" s="106"/>
      <c r="F88" s="105"/>
      <c r="H88" s="105"/>
      <c r="J88" s="105"/>
      <c r="K88" s="2"/>
      <c r="L88" s="105"/>
      <c r="M88" s="2"/>
      <c r="N88" s="105"/>
      <c r="O88" s="2"/>
      <c r="P88" s="2"/>
      <c r="Q88" s="2"/>
      <c r="R88" s="2"/>
      <c r="S88" s="2"/>
      <c r="T88" s="2"/>
      <c r="U88" s="2"/>
      <c r="V88" s="105"/>
    </row>
    <row r="89" spans="1:22" x14ac:dyDescent="0.25">
      <c r="A89" s="106"/>
      <c r="F89" s="105"/>
      <c r="H89" s="105"/>
      <c r="J89" s="105"/>
      <c r="K89" s="2"/>
      <c r="L89" s="105"/>
      <c r="M89" s="2"/>
      <c r="N89" s="105"/>
      <c r="O89" s="2"/>
      <c r="P89" s="2"/>
      <c r="Q89" s="2"/>
      <c r="R89" s="2"/>
      <c r="S89" s="2"/>
      <c r="T89" s="2"/>
      <c r="U89" s="2"/>
      <c r="V89" s="105"/>
    </row>
    <row r="90" spans="1:22" x14ac:dyDescent="0.25">
      <c r="A90" s="106"/>
      <c r="F90" s="105"/>
      <c r="H90" s="105"/>
      <c r="J90" s="105"/>
      <c r="K90" s="2"/>
      <c r="L90" s="105"/>
      <c r="M90" s="2"/>
      <c r="N90" s="105"/>
      <c r="O90" s="2"/>
      <c r="P90" s="2"/>
      <c r="Q90" s="2"/>
      <c r="R90" s="2"/>
      <c r="S90" s="2"/>
      <c r="T90" s="2"/>
      <c r="U90" s="2"/>
      <c r="V90" s="105"/>
    </row>
    <row r="91" spans="1:22" x14ac:dyDescent="0.25">
      <c r="A91" s="106"/>
      <c r="F91" s="105"/>
      <c r="H91" s="105"/>
      <c r="J91" s="105"/>
      <c r="K91" s="2"/>
      <c r="L91" s="105"/>
      <c r="M91" s="2"/>
      <c r="N91" s="105"/>
      <c r="O91" s="2"/>
      <c r="P91" s="2"/>
      <c r="Q91" s="2"/>
      <c r="R91" s="2"/>
      <c r="S91" s="2"/>
      <c r="T91" s="2"/>
      <c r="U91" s="2"/>
      <c r="V91" s="105"/>
    </row>
    <row r="92" spans="1:22" x14ac:dyDescent="0.25">
      <c r="A92" s="106"/>
      <c r="F92" s="105"/>
      <c r="H92" s="105"/>
      <c r="J92" s="105"/>
      <c r="K92" s="2"/>
      <c r="L92" s="105"/>
      <c r="M92" s="2"/>
      <c r="N92" s="105"/>
      <c r="O92" s="2"/>
      <c r="P92" s="2"/>
      <c r="Q92" s="2"/>
      <c r="R92" s="2"/>
      <c r="S92" s="2"/>
      <c r="T92" s="2"/>
      <c r="U92" s="2"/>
      <c r="V92" s="105"/>
    </row>
    <row r="93" spans="1:22" x14ac:dyDescent="0.25">
      <c r="A93" s="106"/>
      <c r="F93" s="105"/>
      <c r="H93" s="105"/>
      <c r="J93" s="105"/>
      <c r="K93" s="2"/>
      <c r="L93" s="105"/>
      <c r="M93" s="2"/>
      <c r="N93" s="105"/>
      <c r="O93" s="2"/>
      <c r="P93" s="2"/>
      <c r="Q93" s="2"/>
      <c r="R93" s="2"/>
      <c r="S93" s="2"/>
      <c r="T93" s="2"/>
      <c r="U93" s="2"/>
      <c r="V93" s="105"/>
    </row>
    <row r="94" spans="1:22" x14ac:dyDescent="0.25">
      <c r="A94" s="106"/>
      <c r="F94" s="105"/>
      <c r="H94" s="105"/>
      <c r="J94" s="105"/>
      <c r="K94" s="2"/>
      <c r="L94" s="105"/>
      <c r="M94" s="2"/>
      <c r="N94" s="105"/>
      <c r="O94" s="2"/>
      <c r="P94" s="2"/>
      <c r="Q94" s="2"/>
      <c r="R94" s="2"/>
      <c r="S94" s="2"/>
      <c r="T94" s="2"/>
      <c r="U94" s="2"/>
      <c r="V94" s="105"/>
    </row>
    <row r="95" spans="1:22" x14ac:dyDescent="0.25">
      <c r="A95" s="106"/>
      <c r="F95" s="105"/>
      <c r="H95" s="105"/>
      <c r="J95" s="105"/>
      <c r="K95" s="2"/>
      <c r="L95" s="105"/>
      <c r="M95" s="2"/>
      <c r="N95" s="105"/>
      <c r="O95" s="2"/>
      <c r="P95" s="2"/>
      <c r="Q95" s="2"/>
      <c r="R95" s="2"/>
      <c r="S95" s="2"/>
      <c r="T95" s="2"/>
      <c r="U95" s="2"/>
      <c r="V95" s="105"/>
    </row>
    <row r="96" spans="1:22" x14ac:dyDescent="0.25">
      <c r="A96" s="106"/>
      <c r="F96" s="105"/>
      <c r="H96" s="105"/>
      <c r="J96" s="105"/>
      <c r="K96" s="2"/>
      <c r="L96" s="105"/>
      <c r="M96" s="2"/>
      <c r="N96" s="105"/>
      <c r="O96" s="2"/>
      <c r="P96" s="2"/>
      <c r="Q96" s="2"/>
      <c r="R96" s="2"/>
      <c r="S96" s="2"/>
      <c r="T96" s="2"/>
      <c r="U96" s="2"/>
      <c r="V96" s="105"/>
    </row>
    <row r="97" spans="1:22" x14ac:dyDescent="0.25">
      <c r="A97" s="106"/>
      <c r="F97" s="105"/>
      <c r="H97" s="105"/>
      <c r="J97" s="105"/>
      <c r="K97" s="2"/>
      <c r="L97" s="105"/>
      <c r="M97" s="2"/>
      <c r="N97" s="105"/>
      <c r="O97" s="2"/>
      <c r="P97" s="2"/>
      <c r="Q97" s="2"/>
      <c r="R97" s="2"/>
      <c r="S97" s="2"/>
      <c r="T97" s="2"/>
      <c r="U97" s="2"/>
      <c r="V97" s="105"/>
    </row>
    <row r="98" spans="1:22" x14ac:dyDescent="0.25">
      <c r="A98" s="106"/>
      <c r="F98" s="105"/>
      <c r="H98" s="105"/>
      <c r="J98" s="105"/>
      <c r="K98" s="2"/>
      <c r="L98" s="105"/>
      <c r="M98" s="2"/>
      <c r="N98" s="105"/>
      <c r="O98" s="2"/>
      <c r="P98" s="2"/>
      <c r="Q98" s="2"/>
      <c r="R98" s="2"/>
      <c r="S98" s="2"/>
      <c r="T98" s="2"/>
      <c r="U98" s="2"/>
      <c r="V98" s="105"/>
    </row>
    <row r="99" spans="1:22" x14ac:dyDescent="0.25">
      <c r="A99" s="106"/>
      <c r="F99" s="105"/>
      <c r="H99" s="105"/>
      <c r="J99" s="105"/>
      <c r="K99" s="2"/>
      <c r="L99" s="105"/>
      <c r="M99" s="2"/>
      <c r="N99" s="105"/>
      <c r="O99" s="2"/>
      <c r="P99" s="2"/>
      <c r="Q99" s="2"/>
      <c r="R99" s="2"/>
      <c r="S99" s="2"/>
      <c r="T99" s="2"/>
      <c r="U99" s="2"/>
      <c r="V99" s="105"/>
    </row>
    <row r="100" spans="1:22" x14ac:dyDescent="0.25">
      <c r="A100" s="106"/>
      <c r="F100" s="105"/>
      <c r="H100" s="105"/>
      <c r="J100" s="105"/>
      <c r="K100" s="2"/>
      <c r="L100" s="105"/>
      <c r="M100" s="2"/>
      <c r="N100" s="105"/>
      <c r="O100" s="2"/>
      <c r="P100" s="2"/>
      <c r="Q100" s="2"/>
      <c r="R100" s="2"/>
      <c r="S100" s="2"/>
      <c r="T100" s="2"/>
      <c r="U100" s="2"/>
      <c r="V100" s="105"/>
    </row>
    <row r="101" spans="1:22" x14ac:dyDescent="0.25">
      <c r="A101" s="106"/>
      <c r="F101" s="105"/>
      <c r="H101" s="105"/>
      <c r="J101" s="105"/>
      <c r="K101" s="2"/>
      <c r="L101" s="105"/>
      <c r="M101" s="2"/>
      <c r="N101" s="105"/>
      <c r="O101" s="2"/>
      <c r="P101" s="2"/>
      <c r="Q101" s="2"/>
      <c r="R101" s="2"/>
      <c r="S101" s="2"/>
      <c r="T101" s="2"/>
      <c r="U101" s="2"/>
      <c r="V101" s="105"/>
    </row>
    <row r="102" spans="1:22" x14ac:dyDescent="0.25">
      <c r="A102" s="106"/>
      <c r="F102" s="105"/>
      <c r="H102" s="105"/>
      <c r="J102" s="105"/>
      <c r="K102" s="2"/>
      <c r="L102" s="105"/>
      <c r="M102" s="2"/>
      <c r="N102" s="105"/>
      <c r="O102" s="2"/>
      <c r="P102" s="2"/>
      <c r="Q102" s="2"/>
      <c r="R102" s="2"/>
      <c r="S102" s="2"/>
      <c r="T102" s="2"/>
      <c r="U102" s="2"/>
      <c r="V102" s="105"/>
    </row>
    <row r="103" spans="1:22" x14ac:dyDescent="0.25">
      <c r="A103" s="106"/>
      <c r="F103" s="105"/>
      <c r="H103" s="105"/>
      <c r="J103" s="105"/>
      <c r="K103" s="2"/>
      <c r="L103" s="105"/>
      <c r="M103" s="2"/>
      <c r="N103" s="105"/>
      <c r="O103" s="2"/>
      <c r="P103" s="2"/>
      <c r="Q103" s="2"/>
      <c r="R103" s="2"/>
      <c r="S103" s="2"/>
      <c r="T103" s="2"/>
      <c r="U103" s="2"/>
      <c r="V103" s="105"/>
    </row>
    <row r="104" spans="1:22" x14ac:dyDescent="0.25">
      <c r="A104" s="106"/>
      <c r="F104" s="105"/>
      <c r="H104" s="105"/>
      <c r="J104" s="105"/>
      <c r="K104" s="2"/>
      <c r="L104" s="105"/>
      <c r="M104" s="2"/>
      <c r="N104" s="105"/>
      <c r="O104" s="2"/>
      <c r="P104" s="2"/>
      <c r="Q104" s="2"/>
      <c r="R104" s="2"/>
      <c r="S104" s="2"/>
      <c r="T104" s="2"/>
      <c r="U104" s="2"/>
      <c r="V104" s="105"/>
    </row>
    <row r="105" spans="1:22" x14ac:dyDescent="0.25">
      <c r="A105" s="106"/>
      <c r="F105" s="105"/>
      <c r="H105" s="105"/>
      <c r="J105" s="105"/>
      <c r="K105" s="2"/>
      <c r="L105" s="105"/>
      <c r="M105" s="2"/>
      <c r="N105" s="105"/>
      <c r="O105" s="2"/>
      <c r="P105" s="2"/>
      <c r="Q105" s="2"/>
      <c r="R105" s="2"/>
      <c r="S105" s="2"/>
      <c r="T105" s="2"/>
      <c r="U105" s="2"/>
      <c r="V105" s="105"/>
    </row>
    <row r="106" spans="1:22" x14ac:dyDescent="0.25">
      <c r="A106" s="106"/>
      <c r="F106" s="105"/>
      <c r="H106" s="105"/>
      <c r="J106" s="105"/>
      <c r="K106" s="2"/>
      <c r="L106" s="105"/>
      <c r="M106" s="2"/>
      <c r="N106" s="105"/>
      <c r="O106" s="2"/>
      <c r="P106" s="2"/>
      <c r="Q106" s="2"/>
      <c r="R106" s="2"/>
      <c r="S106" s="2"/>
      <c r="T106" s="2"/>
      <c r="U106" s="2"/>
      <c r="V106" s="105"/>
    </row>
    <row r="107" spans="1:22" x14ac:dyDescent="0.25">
      <c r="A107" s="106"/>
      <c r="F107" s="105"/>
      <c r="H107" s="105"/>
      <c r="J107" s="105"/>
      <c r="K107" s="2"/>
      <c r="L107" s="105"/>
      <c r="M107" s="2"/>
      <c r="N107" s="105"/>
      <c r="O107" s="2"/>
      <c r="P107" s="2"/>
      <c r="Q107" s="2"/>
      <c r="R107" s="2"/>
      <c r="S107" s="2"/>
      <c r="T107" s="2"/>
      <c r="U107" s="2"/>
      <c r="V107" s="105"/>
    </row>
    <row r="108" spans="1:22" x14ac:dyDescent="0.25">
      <c r="A108" s="106"/>
      <c r="F108" s="105"/>
      <c r="H108" s="105"/>
      <c r="J108" s="105"/>
      <c r="K108" s="2"/>
      <c r="L108" s="105"/>
      <c r="M108" s="2"/>
      <c r="N108" s="105"/>
      <c r="O108" s="2"/>
      <c r="P108" s="2"/>
      <c r="Q108" s="2"/>
      <c r="R108" s="2"/>
      <c r="S108" s="2"/>
      <c r="T108" s="2"/>
      <c r="U108" s="2"/>
      <c r="V108" s="105"/>
    </row>
    <row r="109" spans="1:22" x14ac:dyDescent="0.25">
      <c r="A109" s="106"/>
      <c r="F109" s="105"/>
      <c r="H109" s="105"/>
      <c r="J109" s="105"/>
      <c r="K109" s="2"/>
      <c r="L109" s="105"/>
      <c r="M109" s="2"/>
      <c r="N109" s="105"/>
      <c r="O109" s="2"/>
      <c r="P109" s="2"/>
      <c r="Q109" s="2"/>
      <c r="R109" s="2"/>
      <c r="S109" s="2"/>
      <c r="T109" s="2"/>
      <c r="U109" s="2"/>
      <c r="V109" s="105"/>
    </row>
    <row r="110" spans="1:22" x14ac:dyDescent="0.25">
      <c r="A110" s="106"/>
      <c r="F110" s="105"/>
      <c r="H110" s="105"/>
      <c r="J110" s="105"/>
      <c r="K110" s="2"/>
      <c r="L110" s="105"/>
      <c r="M110" s="2"/>
      <c r="N110" s="105"/>
      <c r="O110" s="2"/>
      <c r="P110" s="2"/>
      <c r="Q110" s="2"/>
      <c r="R110" s="2"/>
      <c r="S110" s="2"/>
      <c r="T110" s="2"/>
      <c r="U110" s="2"/>
      <c r="V110" s="105"/>
    </row>
    <row r="111" spans="1:22" x14ac:dyDescent="0.25">
      <c r="A111" s="106"/>
      <c r="F111" s="105"/>
      <c r="H111" s="105"/>
      <c r="J111" s="105"/>
      <c r="K111" s="2"/>
      <c r="L111" s="105"/>
      <c r="M111" s="2"/>
      <c r="N111" s="105"/>
      <c r="O111" s="2"/>
      <c r="P111" s="2"/>
      <c r="Q111" s="2"/>
      <c r="R111" s="2"/>
      <c r="S111" s="2"/>
      <c r="T111" s="2"/>
      <c r="U111" s="2"/>
      <c r="V111" s="105"/>
    </row>
    <row r="112" spans="1:22" x14ac:dyDescent="0.25">
      <c r="A112" s="106"/>
      <c r="F112" s="105"/>
      <c r="H112" s="105"/>
      <c r="J112" s="105"/>
      <c r="K112" s="2"/>
      <c r="L112" s="105"/>
      <c r="M112" s="2"/>
      <c r="N112" s="105"/>
      <c r="O112" s="2"/>
      <c r="P112" s="2"/>
      <c r="Q112" s="2"/>
      <c r="R112" s="2"/>
      <c r="S112" s="2"/>
      <c r="T112" s="2"/>
      <c r="U112" s="2"/>
      <c r="V112" s="105"/>
    </row>
    <row r="113" spans="1:22" x14ac:dyDescent="0.25">
      <c r="A113" s="106"/>
      <c r="F113" s="105"/>
      <c r="H113" s="105"/>
      <c r="J113" s="105"/>
      <c r="K113" s="2"/>
      <c r="L113" s="105"/>
      <c r="M113" s="2"/>
      <c r="N113" s="105"/>
      <c r="O113" s="2"/>
      <c r="P113" s="2"/>
      <c r="Q113" s="2"/>
      <c r="R113" s="2"/>
      <c r="S113" s="2"/>
      <c r="T113" s="2"/>
      <c r="U113" s="2"/>
      <c r="V113" s="105"/>
    </row>
    <row r="114" spans="1:22" x14ac:dyDescent="0.25">
      <c r="A114" s="106"/>
      <c r="F114" s="105"/>
      <c r="H114" s="105"/>
      <c r="J114" s="105"/>
      <c r="K114" s="2"/>
      <c r="L114" s="105"/>
      <c r="M114" s="2"/>
      <c r="N114" s="105"/>
      <c r="O114" s="2"/>
      <c r="P114" s="2"/>
      <c r="Q114" s="2"/>
      <c r="R114" s="2"/>
      <c r="S114" s="2"/>
      <c r="T114" s="2"/>
      <c r="U114" s="2"/>
      <c r="V114" s="105"/>
    </row>
    <row r="115" spans="1:22" x14ac:dyDescent="0.25">
      <c r="A115" s="106"/>
      <c r="F115" s="105"/>
      <c r="H115" s="105"/>
      <c r="J115" s="105"/>
      <c r="K115" s="2"/>
      <c r="L115" s="105"/>
      <c r="M115" s="2"/>
      <c r="N115" s="105"/>
      <c r="O115" s="2"/>
      <c r="P115" s="2"/>
      <c r="Q115" s="2"/>
      <c r="R115" s="2"/>
      <c r="S115" s="2"/>
      <c r="T115" s="2"/>
      <c r="U115" s="2"/>
      <c r="V115" s="105"/>
    </row>
    <row r="116" spans="1:22" x14ac:dyDescent="0.25">
      <c r="A116" s="106"/>
      <c r="F116" s="105"/>
      <c r="H116" s="105"/>
      <c r="J116" s="105"/>
      <c r="K116" s="2"/>
      <c r="L116" s="105"/>
      <c r="M116" s="2"/>
      <c r="N116" s="105"/>
      <c r="O116" s="2"/>
      <c r="P116" s="2"/>
      <c r="Q116" s="2"/>
      <c r="R116" s="2"/>
      <c r="S116" s="2"/>
      <c r="T116" s="2"/>
      <c r="U116" s="2"/>
      <c r="V116" s="105"/>
    </row>
    <row r="117" spans="1:22" x14ac:dyDescent="0.25">
      <c r="A117" s="106"/>
      <c r="F117" s="105"/>
      <c r="H117" s="105"/>
      <c r="J117" s="105"/>
      <c r="K117" s="2"/>
      <c r="L117" s="105"/>
      <c r="M117" s="2"/>
      <c r="N117" s="105"/>
      <c r="O117" s="2"/>
      <c r="P117" s="2"/>
      <c r="Q117" s="2"/>
      <c r="R117" s="2"/>
      <c r="S117" s="2"/>
      <c r="T117" s="2"/>
      <c r="U117" s="2"/>
      <c r="V117" s="105"/>
    </row>
    <row r="118" spans="1:22" x14ac:dyDescent="0.25">
      <c r="A118" s="106"/>
      <c r="F118" s="105"/>
      <c r="H118" s="105"/>
      <c r="J118" s="105"/>
      <c r="K118" s="2"/>
      <c r="L118" s="105"/>
      <c r="M118" s="2"/>
      <c r="N118" s="105"/>
      <c r="O118" s="2"/>
      <c r="P118" s="2"/>
      <c r="Q118" s="2"/>
      <c r="R118" s="2"/>
      <c r="S118" s="2"/>
      <c r="T118" s="2"/>
      <c r="U118" s="2"/>
      <c r="V118" s="105"/>
    </row>
    <row r="119" spans="1:22" x14ac:dyDescent="0.25">
      <c r="A119" s="106"/>
      <c r="F119" s="105"/>
      <c r="H119" s="105"/>
      <c r="J119" s="105"/>
      <c r="K119" s="2"/>
      <c r="L119" s="105"/>
      <c r="M119" s="2"/>
      <c r="N119" s="105"/>
      <c r="O119" s="2"/>
      <c r="P119" s="2"/>
      <c r="Q119" s="2"/>
      <c r="R119" s="2"/>
      <c r="S119" s="2"/>
      <c r="T119" s="2"/>
      <c r="U119" s="2"/>
      <c r="V119" s="105"/>
    </row>
    <row r="120" spans="1:22" x14ac:dyDescent="0.25">
      <c r="A120" s="106"/>
      <c r="F120" s="105"/>
      <c r="H120" s="105"/>
      <c r="J120" s="105"/>
      <c r="K120" s="2"/>
      <c r="L120" s="105"/>
      <c r="M120" s="2"/>
      <c r="N120" s="105"/>
      <c r="O120" s="2"/>
      <c r="P120" s="2"/>
      <c r="Q120" s="2"/>
      <c r="R120" s="2"/>
      <c r="S120" s="2"/>
      <c r="T120" s="2"/>
      <c r="U120" s="2"/>
      <c r="V120" s="105"/>
    </row>
    <row r="121" spans="1:22" x14ac:dyDescent="0.25">
      <c r="A121" s="106"/>
      <c r="F121" s="105"/>
      <c r="H121" s="105"/>
      <c r="J121" s="105"/>
      <c r="K121" s="2"/>
      <c r="L121" s="105"/>
      <c r="M121" s="2"/>
      <c r="N121" s="105"/>
      <c r="O121" s="2"/>
      <c r="P121" s="2"/>
      <c r="Q121" s="2"/>
      <c r="R121" s="2"/>
      <c r="S121" s="2"/>
      <c r="T121" s="2"/>
      <c r="U121" s="2"/>
      <c r="V121" s="105"/>
    </row>
    <row r="122" spans="1:22" x14ac:dyDescent="0.25">
      <c r="A122" s="106"/>
      <c r="F122" s="105"/>
      <c r="H122" s="105"/>
      <c r="J122" s="105"/>
      <c r="K122" s="2"/>
      <c r="L122" s="105"/>
      <c r="M122" s="2"/>
      <c r="N122" s="105"/>
      <c r="O122" s="2"/>
      <c r="P122" s="2"/>
      <c r="Q122" s="2"/>
      <c r="R122" s="2"/>
      <c r="S122" s="2"/>
      <c r="T122" s="2"/>
      <c r="U122" s="2"/>
      <c r="V122" s="105"/>
    </row>
    <row r="123" spans="1:22" x14ac:dyDescent="0.25">
      <c r="A123" s="106"/>
      <c r="F123" s="105"/>
      <c r="H123" s="105"/>
      <c r="J123" s="105"/>
      <c r="K123" s="2"/>
      <c r="L123" s="105"/>
      <c r="M123" s="2"/>
      <c r="N123" s="105"/>
      <c r="O123" s="2"/>
      <c r="P123" s="2"/>
      <c r="Q123" s="2"/>
      <c r="R123" s="2"/>
      <c r="S123" s="2"/>
      <c r="T123" s="2"/>
      <c r="U123" s="2"/>
      <c r="V123" s="105"/>
    </row>
    <row r="124" spans="1:22" x14ac:dyDescent="0.25">
      <c r="A124" s="106"/>
      <c r="F124" s="105"/>
      <c r="H124" s="105"/>
      <c r="J124" s="105"/>
      <c r="K124" s="2"/>
      <c r="L124" s="105"/>
      <c r="M124" s="2"/>
      <c r="N124" s="105"/>
      <c r="O124" s="2"/>
      <c r="P124" s="2"/>
      <c r="Q124" s="2"/>
      <c r="R124" s="2"/>
      <c r="S124" s="2"/>
      <c r="T124" s="2"/>
      <c r="U124" s="2"/>
      <c r="V124" s="105"/>
    </row>
    <row r="125" spans="1:22" x14ac:dyDescent="0.25">
      <c r="A125" s="106"/>
      <c r="F125" s="105"/>
      <c r="H125" s="105"/>
      <c r="J125" s="105"/>
      <c r="K125" s="2"/>
      <c r="L125" s="105"/>
      <c r="M125" s="2"/>
      <c r="N125" s="105"/>
      <c r="O125" s="2"/>
      <c r="P125" s="2"/>
      <c r="Q125" s="2"/>
      <c r="R125" s="2"/>
      <c r="S125" s="2"/>
      <c r="T125" s="2"/>
      <c r="U125" s="2"/>
      <c r="V125" s="105"/>
    </row>
    <row r="126" spans="1:22" x14ac:dyDescent="0.25">
      <c r="A126" s="106"/>
      <c r="F126" s="105"/>
      <c r="H126" s="105"/>
      <c r="J126" s="105"/>
      <c r="K126" s="2"/>
      <c r="L126" s="105"/>
      <c r="M126" s="2"/>
      <c r="N126" s="105"/>
      <c r="O126" s="2"/>
      <c r="P126" s="2"/>
      <c r="Q126" s="2"/>
      <c r="R126" s="2"/>
      <c r="S126" s="2"/>
      <c r="T126" s="2"/>
      <c r="U126" s="2"/>
      <c r="V126" s="105"/>
    </row>
    <row r="127" spans="1:22" x14ac:dyDescent="0.25">
      <c r="A127" s="106"/>
      <c r="F127" s="105"/>
      <c r="H127" s="105"/>
      <c r="J127" s="105"/>
      <c r="K127" s="2"/>
      <c r="L127" s="105"/>
      <c r="M127" s="2"/>
      <c r="N127" s="105"/>
      <c r="O127" s="2"/>
      <c r="P127" s="2"/>
      <c r="Q127" s="2"/>
      <c r="R127" s="2"/>
      <c r="S127" s="2"/>
      <c r="T127" s="2"/>
      <c r="U127" s="2"/>
      <c r="V127" s="105"/>
    </row>
    <row r="128" spans="1:22" x14ac:dyDescent="0.25">
      <c r="A128" s="106"/>
      <c r="F128" s="105"/>
      <c r="H128" s="105"/>
      <c r="J128" s="105"/>
      <c r="K128" s="2"/>
      <c r="L128" s="105"/>
      <c r="M128" s="2"/>
      <c r="N128" s="105"/>
      <c r="O128" s="2"/>
      <c r="P128" s="2"/>
      <c r="Q128" s="2"/>
      <c r="R128" s="2"/>
      <c r="S128" s="2"/>
      <c r="T128" s="2"/>
      <c r="U128" s="2"/>
      <c r="V128" s="105"/>
    </row>
    <row r="129" spans="1:22" x14ac:dyDescent="0.25">
      <c r="A129" s="106"/>
      <c r="F129" s="105"/>
      <c r="H129" s="105"/>
      <c r="J129" s="105"/>
      <c r="K129" s="2"/>
      <c r="L129" s="105"/>
      <c r="M129" s="2"/>
      <c r="N129" s="105"/>
      <c r="O129" s="2"/>
      <c r="P129" s="2"/>
      <c r="Q129" s="2"/>
      <c r="R129" s="2"/>
      <c r="S129" s="2"/>
      <c r="T129" s="2"/>
      <c r="U129" s="2"/>
      <c r="V129" s="105"/>
    </row>
    <row r="130" spans="1:22" x14ac:dyDescent="0.25">
      <c r="A130" s="106"/>
      <c r="F130" s="105"/>
      <c r="H130" s="105"/>
      <c r="J130" s="105"/>
      <c r="K130" s="2"/>
      <c r="L130" s="105"/>
      <c r="M130" s="2"/>
      <c r="N130" s="105"/>
      <c r="O130" s="2"/>
      <c r="P130" s="2"/>
      <c r="Q130" s="2"/>
      <c r="R130" s="2"/>
      <c r="S130" s="2"/>
      <c r="T130" s="2"/>
      <c r="U130" s="2"/>
      <c r="V130" s="105"/>
    </row>
    <row r="131" spans="1:22" x14ac:dyDescent="0.25">
      <c r="A131" s="106"/>
      <c r="F131" s="105"/>
      <c r="H131" s="105"/>
      <c r="J131" s="105"/>
      <c r="K131" s="2"/>
      <c r="L131" s="105"/>
      <c r="M131" s="2"/>
      <c r="N131" s="105"/>
      <c r="O131" s="2"/>
      <c r="P131" s="2"/>
      <c r="Q131" s="2"/>
      <c r="R131" s="2"/>
      <c r="S131" s="2"/>
      <c r="T131" s="2"/>
      <c r="U131" s="2"/>
      <c r="V131" s="105"/>
    </row>
    <row r="132" spans="1:22" x14ac:dyDescent="0.25">
      <c r="A132" s="106"/>
      <c r="F132" s="105"/>
      <c r="H132" s="105"/>
      <c r="J132" s="105"/>
      <c r="K132" s="2"/>
      <c r="L132" s="105"/>
      <c r="M132" s="2"/>
      <c r="N132" s="105"/>
      <c r="O132" s="2"/>
      <c r="P132" s="2"/>
      <c r="Q132" s="2"/>
      <c r="R132" s="2"/>
      <c r="S132" s="2"/>
      <c r="T132" s="2"/>
      <c r="U132" s="2"/>
      <c r="V132" s="105"/>
    </row>
    <row r="133" spans="1:22" x14ac:dyDescent="0.25">
      <c r="A133" s="106"/>
      <c r="F133" s="105"/>
      <c r="H133" s="105"/>
      <c r="J133" s="105"/>
      <c r="K133" s="2"/>
      <c r="L133" s="105"/>
      <c r="M133" s="2"/>
      <c r="N133" s="105"/>
      <c r="O133" s="2"/>
      <c r="P133" s="2"/>
      <c r="Q133" s="2"/>
      <c r="R133" s="2"/>
      <c r="S133" s="2"/>
      <c r="T133" s="2"/>
      <c r="U133" s="2"/>
      <c r="V133" s="105"/>
    </row>
    <row r="134" spans="1:22" x14ac:dyDescent="0.25">
      <c r="A134" s="106"/>
      <c r="F134" s="105"/>
      <c r="H134" s="105"/>
      <c r="J134" s="105"/>
      <c r="K134" s="2"/>
      <c r="L134" s="105"/>
      <c r="M134" s="2"/>
      <c r="N134" s="105"/>
      <c r="O134" s="2"/>
      <c r="P134" s="2"/>
      <c r="Q134" s="2"/>
      <c r="R134" s="2"/>
      <c r="S134" s="2"/>
      <c r="T134" s="2"/>
      <c r="U134" s="2"/>
      <c r="V134" s="105"/>
    </row>
    <row r="135" spans="1:22" x14ac:dyDescent="0.25">
      <c r="A135" s="106"/>
      <c r="F135" s="105"/>
      <c r="H135" s="105"/>
      <c r="J135" s="105"/>
      <c r="K135" s="2"/>
      <c r="L135" s="105"/>
      <c r="M135" s="2"/>
      <c r="N135" s="105"/>
      <c r="O135" s="2"/>
      <c r="P135" s="2"/>
      <c r="Q135" s="2"/>
      <c r="R135" s="2"/>
      <c r="S135" s="2"/>
      <c r="T135" s="2"/>
      <c r="U135" s="2"/>
      <c r="V135" s="105"/>
    </row>
    <row r="136" spans="1:22" x14ac:dyDescent="0.25">
      <c r="A136" s="106"/>
      <c r="F136" s="105"/>
      <c r="H136" s="105"/>
      <c r="J136" s="105"/>
      <c r="K136" s="2"/>
      <c r="L136" s="105"/>
      <c r="M136" s="2"/>
      <c r="N136" s="105"/>
      <c r="O136" s="2"/>
      <c r="P136" s="2"/>
      <c r="Q136" s="2"/>
      <c r="R136" s="2"/>
      <c r="S136" s="2"/>
      <c r="T136" s="2"/>
      <c r="U136" s="2"/>
      <c r="V136" s="105"/>
    </row>
    <row r="137" spans="1:22" x14ac:dyDescent="0.25">
      <c r="A137" s="106"/>
      <c r="F137" s="105"/>
      <c r="H137" s="105"/>
      <c r="J137" s="105"/>
      <c r="K137" s="2"/>
      <c r="L137" s="105"/>
      <c r="M137" s="2"/>
      <c r="N137" s="105"/>
      <c r="O137" s="2"/>
      <c r="P137" s="2"/>
      <c r="Q137" s="2"/>
      <c r="R137" s="2"/>
      <c r="S137" s="2"/>
      <c r="T137" s="2"/>
      <c r="U137" s="2"/>
      <c r="V137" s="105"/>
    </row>
    <row r="138" spans="1:22" x14ac:dyDescent="0.25">
      <c r="A138" s="106"/>
      <c r="F138" s="105"/>
      <c r="H138" s="105"/>
      <c r="J138" s="105"/>
      <c r="K138" s="2"/>
      <c r="L138" s="105"/>
      <c r="M138" s="2"/>
      <c r="N138" s="105"/>
      <c r="O138" s="2"/>
      <c r="P138" s="2"/>
      <c r="Q138" s="2"/>
      <c r="R138" s="2"/>
      <c r="S138" s="2"/>
      <c r="T138" s="2"/>
      <c r="U138" s="2"/>
      <c r="V138" s="105"/>
    </row>
    <row r="139" spans="1:22" x14ac:dyDescent="0.25">
      <c r="A139" s="106"/>
      <c r="F139" s="105"/>
      <c r="H139" s="105"/>
      <c r="J139" s="105"/>
      <c r="K139" s="2"/>
      <c r="L139" s="105"/>
      <c r="M139" s="2"/>
      <c r="N139" s="105"/>
      <c r="O139" s="2"/>
      <c r="P139" s="2"/>
      <c r="Q139" s="2"/>
      <c r="R139" s="2"/>
      <c r="S139" s="2"/>
      <c r="T139" s="2"/>
      <c r="U139" s="2"/>
      <c r="V139" s="105"/>
    </row>
    <row r="140" spans="1:22" x14ac:dyDescent="0.25">
      <c r="A140" s="106"/>
      <c r="F140" s="105"/>
      <c r="H140" s="105"/>
      <c r="J140" s="105"/>
      <c r="K140" s="2"/>
      <c r="L140" s="105"/>
      <c r="M140" s="2"/>
      <c r="N140" s="105"/>
      <c r="O140" s="2"/>
      <c r="P140" s="2"/>
      <c r="Q140" s="2"/>
      <c r="R140" s="2"/>
      <c r="S140" s="2"/>
      <c r="T140" s="2"/>
      <c r="U140" s="2"/>
      <c r="V140" s="105"/>
    </row>
    <row r="141" spans="1:22" x14ac:dyDescent="0.25">
      <c r="A141" s="106"/>
      <c r="F141" s="105"/>
      <c r="H141" s="105"/>
      <c r="J141" s="105"/>
      <c r="K141" s="2"/>
      <c r="L141" s="105"/>
      <c r="M141" s="2"/>
      <c r="N141" s="105"/>
      <c r="O141" s="2"/>
      <c r="P141" s="2"/>
      <c r="Q141" s="2"/>
      <c r="R141" s="2"/>
      <c r="S141" s="2"/>
      <c r="T141" s="2"/>
      <c r="U141" s="2"/>
      <c r="V141" s="105"/>
    </row>
    <row r="142" spans="1:22" x14ac:dyDescent="0.25">
      <c r="A142" s="106"/>
      <c r="F142" s="105"/>
      <c r="H142" s="105"/>
      <c r="J142" s="105"/>
      <c r="K142" s="2"/>
      <c r="L142" s="105"/>
      <c r="M142" s="2"/>
      <c r="N142" s="105"/>
      <c r="O142" s="2"/>
      <c r="P142" s="2"/>
      <c r="Q142" s="2"/>
      <c r="R142" s="2"/>
      <c r="S142" s="2"/>
      <c r="T142" s="2"/>
      <c r="U142" s="2"/>
      <c r="V142" s="105"/>
    </row>
    <row r="143" spans="1:22" x14ac:dyDescent="0.25">
      <c r="A143" s="106"/>
      <c r="F143" s="105"/>
      <c r="H143" s="105"/>
      <c r="J143" s="105"/>
      <c r="K143" s="2"/>
      <c r="L143" s="105"/>
      <c r="M143" s="2"/>
      <c r="N143" s="105"/>
      <c r="O143" s="2"/>
      <c r="P143" s="2"/>
      <c r="Q143" s="2"/>
      <c r="R143" s="2"/>
      <c r="S143" s="2"/>
      <c r="T143" s="2"/>
      <c r="U143" s="2"/>
      <c r="V143" s="105"/>
    </row>
    <row r="144" spans="1:22" x14ac:dyDescent="0.25">
      <c r="A144" s="106"/>
      <c r="F144" s="105"/>
      <c r="H144" s="105"/>
      <c r="J144" s="105"/>
      <c r="K144" s="2"/>
      <c r="L144" s="105"/>
      <c r="M144" s="2"/>
      <c r="N144" s="105"/>
      <c r="O144" s="2"/>
      <c r="P144" s="2"/>
      <c r="Q144" s="2"/>
      <c r="R144" s="2"/>
      <c r="S144" s="2"/>
      <c r="T144" s="2"/>
      <c r="U144" s="2"/>
      <c r="V144" s="105"/>
    </row>
    <row r="145" spans="1:22" x14ac:dyDescent="0.25">
      <c r="A145" s="106"/>
      <c r="F145" s="105"/>
      <c r="H145" s="105"/>
      <c r="J145" s="105"/>
      <c r="K145" s="2"/>
      <c r="L145" s="105"/>
      <c r="M145" s="2"/>
      <c r="N145" s="105"/>
      <c r="O145" s="2"/>
      <c r="P145" s="2"/>
      <c r="Q145" s="2"/>
      <c r="R145" s="2"/>
      <c r="S145" s="2"/>
      <c r="T145" s="2"/>
      <c r="U145" s="2"/>
      <c r="V145" s="105"/>
    </row>
    <row r="146" spans="1:22" x14ac:dyDescent="0.25">
      <c r="A146" s="106"/>
      <c r="F146" s="105"/>
      <c r="H146" s="105"/>
      <c r="J146" s="105"/>
      <c r="K146" s="2"/>
      <c r="L146" s="105"/>
      <c r="M146" s="2"/>
      <c r="N146" s="105"/>
      <c r="O146" s="2"/>
      <c r="P146" s="2"/>
      <c r="Q146" s="2"/>
      <c r="R146" s="2"/>
      <c r="S146" s="2"/>
      <c r="T146" s="2"/>
      <c r="U146" s="2"/>
      <c r="V146" s="105"/>
    </row>
    <row r="147" spans="1:22" x14ac:dyDescent="0.25">
      <c r="A147" s="106"/>
      <c r="F147" s="105"/>
      <c r="H147" s="105"/>
      <c r="J147" s="105"/>
      <c r="K147" s="2"/>
      <c r="L147" s="105"/>
      <c r="M147" s="2"/>
      <c r="N147" s="105"/>
      <c r="O147" s="2"/>
      <c r="P147" s="2"/>
      <c r="Q147" s="2"/>
      <c r="R147" s="2"/>
      <c r="S147" s="2"/>
      <c r="T147" s="2"/>
      <c r="U147" s="2"/>
      <c r="V147" s="105"/>
    </row>
    <row r="148" spans="1:22" x14ac:dyDescent="0.25">
      <c r="A148" s="106"/>
      <c r="F148" s="105"/>
      <c r="H148" s="105"/>
      <c r="J148" s="105"/>
      <c r="K148" s="2"/>
      <c r="L148" s="105"/>
      <c r="M148" s="2"/>
      <c r="N148" s="105"/>
      <c r="O148" s="2"/>
      <c r="P148" s="2"/>
      <c r="Q148" s="2"/>
      <c r="R148" s="2"/>
      <c r="S148" s="2"/>
      <c r="T148" s="2"/>
      <c r="U148" s="2"/>
      <c r="V148" s="105"/>
    </row>
    <row r="149" spans="1:22" x14ac:dyDescent="0.25">
      <c r="A149" s="106"/>
      <c r="F149" s="105"/>
      <c r="H149" s="105"/>
      <c r="J149" s="105"/>
      <c r="K149" s="2"/>
      <c r="L149" s="105"/>
      <c r="M149" s="2"/>
      <c r="N149" s="105"/>
      <c r="O149" s="2"/>
      <c r="P149" s="2"/>
      <c r="Q149" s="2"/>
      <c r="R149" s="2"/>
      <c r="S149" s="2"/>
      <c r="T149" s="2"/>
      <c r="U149" s="2"/>
      <c r="V149" s="105"/>
    </row>
    <row r="150" spans="1:22" x14ac:dyDescent="0.25">
      <c r="A150" s="106"/>
      <c r="F150" s="105"/>
      <c r="H150" s="105"/>
      <c r="J150" s="105"/>
      <c r="K150" s="2"/>
      <c r="L150" s="105"/>
      <c r="M150" s="2"/>
      <c r="N150" s="105"/>
      <c r="O150" s="2"/>
      <c r="P150" s="2"/>
      <c r="Q150" s="2"/>
      <c r="R150" s="2"/>
      <c r="S150" s="2"/>
      <c r="T150" s="2"/>
      <c r="U150" s="2"/>
      <c r="V150" s="105"/>
    </row>
    <row r="151" spans="1:22" x14ac:dyDescent="0.25">
      <c r="A151" s="106"/>
      <c r="F151" s="105"/>
      <c r="H151" s="105"/>
      <c r="J151" s="105"/>
      <c r="K151" s="2"/>
      <c r="L151" s="105"/>
      <c r="M151" s="2"/>
      <c r="N151" s="105"/>
      <c r="O151" s="2"/>
      <c r="P151" s="2"/>
      <c r="Q151" s="2"/>
      <c r="R151" s="2"/>
      <c r="S151" s="2"/>
      <c r="T151" s="2"/>
      <c r="U151" s="2"/>
      <c r="V151" s="105"/>
    </row>
    <row r="152" spans="1:22" x14ac:dyDescent="0.25">
      <c r="A152" s="106"/>
      <c r="F152" s="105"/>
      <c r="H152" s="105"/>
      <c r="J152" s="105"/>
      <c r="K152" s="2"/>
      <c r="L152" s="105"/>
      <c r="M152" s="2"/>
      <c r="N152" s="105"/>
      <c r="O152" s="2"/>
      <c r="P152" s="2"/>
      <c r="Q152" s="2"/>
      <c r="R152" s="2"/>
      <c r="S152" s="2"/>
      <c r="T152" s="2"/>
      <c r="U152" s="2"/>
      <c r="V152" s="105"/>
    </row>
    <row r="153" spans="1:22" x14ac:dyDescent="0.25">
      <c r="A153" s="106"/>
      <c r="F153" s="105"/>
      <c r="H153" s="105"/>
      <c r="J153" s="105"/>
      <c r="K153" s="2"/>
      <c r="L153" s="105"/>
      <c r="M153" s="2"/>
      <c r="N153" s="105"/>
      <c r="O153" s="2"/>
      <c r="P153" s="2"/>
      <c r="Q153" s="2"/>
      <c r="R153" s="2"/>
      <c r="S153" s="2"/>
      <c r="T153" s="2"/>
      <c r="U153" s="2"/>
      <c r="V153" s="105"/>
    </row>
    <row r="154" spans="1:22" x14ac:dyDescent="0.25">
      <c r="A154" s="106"/>
      <c r="F154" s="105"/>
      <c r="H154" s="105"/>
      <c r="J154" s="105"/>
      <c r="K154" s="2"/>
      <c r="L154" s="105"/>
      <c r="M154" s="2"/>
      <c r="N154" s="105"/>
      <c r="O154" s="2"/>
      <c r="P154" s="2"/>
      <c r="Q154" s="2"/>
      <c r="R154" s="2"/>
      <c r="S154" s="2"/>
      <c r="T154" s="2"/>
      <c r="U154" s="2"/>
      <c r="V154" s="105"/>
    </row>
    <row r="155" spans="1:22" x14ac:dyDescent="0.25">
      <c r="A155" s="106"/>
      <c r="F155" s="105"/>
      <c r="H155" s="105"/>
      <c r="J155" s="105"/>
      <c r="K155" s="2"/>
      <c r="L155" s="105"/>
      <c r="M155" s="2"/>
      <c r="N155" s="105"/>
      <c r="O155" s="2"/>
      <c r="P155" s="2"/>
      <c r="Q155" s="2"/>
      <c r="R155" s="2"/>
      <c r="S155" s="2"/>
      <c r="T155" s="2"/>
      <c r="U155" s="2"/>
      <c r="V155" s="105"/>
    </row>
    <row r="156" spans="1:22" x14ac:dyDescent="0.25">
      <c r="A156" s="106"/>
      <c r="F156" s="105"/>
      <c r="H156" s="105"/>
      <c r="J156" s="105"/>
      <c r="K156" s="2"/>
      <c r="L156" s="105"/>
      <c r="M156" s="2"/>
      <c r="N156" s="105"/>
      <c r="O156" s="2"/>
      <c r="P156" s="2"/>
      <c r="Q156" s="2"/>
      <c r="R156" s="2"/>
      <c r="S156" s="2"/>
      <c r="T156" s="2"/>
      <c r="U156" s="2"/>
      <c r="V156" s="105"/>
    </row>
    <row r="157" spans="1:22" x14ac:dyDescent="0.25">
      <c r="A157" s="106"/>
      <c r="F157" s="105"/>
      <c r="H157" s="105"/>
      <c r="J157" s="105"/>
      <c r="K157" s="2"/>
      <c r="L157" s="105"/>
      <c r="M157" s="2"/>
      <c r="N157" s="105"/>
      <c r="O157" s="2"/>
      <c r="P157" s="2"/>
      <c r="Q157" s="2"/>
      <c r="R157" s="2"/>
      <c r="S157" s="2"/>
      <c r="T157" s="2"/>
      <c r="U157" s="2"/>
      <c r="V157" s="105"/>
    </row>
    <row r="158" spans="1:22" x14ac:dyDescent="0.25">
      <c r="A158" s="106"/>
      <c r="F158" s="105"/>
      <c r="H158" s="105"/>
      <c r="J158" s="105"/>
      <c r="K158" s="2"/>
      <c r="L158" s="105"/>
      <c r="M158" s="2"/>
      <c r="N158" s="105"/>
      <c r="O158" s="2"/>
      <c r="P158" s="2"/>
      <c r="Q158" s="2"/>
      <c r="R158" s="2"/>
      <c r="S158" s="2"/>
      <c r="T158" s="2"/>
      <c r="U158" s="2"/>
      <c r="V158" s="105"/>
    </row>
    <row r="159" spans="1:22" x14ac:dyDescent="0.25">
      <c r="A159" s="106"/>
      <c r="F159" s="105"/>
      <c r="H159" s="105"/>
      <c r="J159" s="105"/>
      <c r="K159" s="2"/>
      <c r="L159" s="105"/>
      <c r="M159" s="2"/>
      <c r="N159" s="105"/>
      <c r="O159" s="2"/>
      <c r="P159" s="2"/>
      <c r="Q159" s="2"/>
      <c r="R159" s="2"/>
      <c r="S159" s="2"/>
      <c r="T159" s="2"/>
      <c r="U159" s="2"/>
      <c r="V159" s="105"/>
    </row>
    <row r="160" spans="1:22" x14ac:dyDescent="0.25">
      <c r="A160" s="106"/>
      <c r="F160" s="105"/>
      <c r="H160" s="105"/>
      <c r="J160" s="105"/>
      <c r="K160" s="2"/>
      <c r="L160" s="105"/>
      <c r="M160" s="2"/>
      <c r="N160" s="105"/>
      <c r="O160" s="2"/>
      <c r="P160" s="2"/>
      <c r="Q160" s="2"/>
      <c r="R160" s="2"/>
      <c r="S160" s="2"/>
      <c r="T160" s="2"/>
      <c r="U160" s="2"/>
      <c r="V160" s="105"/>
    </row>
    <row r="161" spans="1:22" x14ac:dyDescent="0.25">
      <c r="A161" s="106"/>
      <c r="F161" s="105"/>
      <c r="H161" s="105"/>
      <c r="J161" s="105"/>
      <c r="K161" s="2"/>
      <c r="L161" s="105"/>
      <c r="M161" s="2"/>
      <c r="N161" s="105"/>
      <c r="O161" s="2"/>
      <c r="P161" s="2"/>
      <c r="Q161" s="2"/>
      <c r="R161" s="2"/>
      <c r="S161" s="2"/>
      <c r="T161" s="2"/>
      <c r="U161" s="2"/>
      <c r="V161" s="105"/>
    </row>
    <row r="162" spans="1:22" x14ac:dyDescent="0.25">
      <c r="A162" s="106"/>
      <c r="F162" s="105"/>
      <c r="H162" s="105"/>
      <c r="J162" s="105"/>
      <c r="K162" s="2"/>
      <c r="L162" s="105"/>
      <c r="M162" s="2"/>
      <c r="N162" s="105"/>
      <c r="O162" s="2"/>
      <c r="P162" s="2"/>
      <c r="Q162" s="2"/>
      <c r="R162" s="2"/>
      <c r="S162" s="2"/>
      <c r="T162" s="2"/>
      <c r="U162" s="2"/>
      <c r="V162" s="105"/>
    </row>
    <row r="163" spans="1:22" x14ac:dyDescent="0.25">
      <c r="A163" s="106"/>
      <c r="F163" s="105"/>
      <c r="H163" s="105"/>
      <c r="J163" s="105"/>
      <c r="K163" s="2"/>
      <c r="L163" s="105"/>
      <c r="M163" s="2"/>
      <c r="N163" s="105"/>
      <c r="O163" s="2"/>
      <c r="P163" s="2"/>
      <c r="Q163" s="2"/>
      <c r="R163" s="2"/>
      <c r="S163" s="2"/>
      <c r="T163" s="2"/>
      <c r="U163" s="2"/>
      <c r="V163" s="105"/>
    </row>
    <row r="164" spans="1:22" x14ac:dyDescent="0.25">
      <c r="A164" s="106"/>
      <c r="F164" s="105"/>
      <c r="H164" s="105"/>
      <c r="J164" s="105"/>
      <c r="K164" s="2"/>
      <c r="L164" s="105"/>
      <c r="M164" s="2"/>
      <c r="N164" s="105"/>
      <c r="O164" s="2"/>
      <c r="P164" s="2"/>
      <c r="Q164" s="2"/>
      <c r="R164" s="2"/>
      <c r="S164" s="2"/>
      <c r="T164" s="2"/>
      <c r="U164" s="2"/>
      <c r="V164" s="105"/>
    </row>
    <row r="165" spans="1:22" x14ac:dyDescent="0.25">
      <c r="A165" s="106"/>
      <c r="F165" s="105"/>
      <c r="H165" s="105"/>
      <c r="J165" s="105"/>
      <c r="K165" s="2"/>
      <c r="L165" s="105"/>
      <c r="M165" s="2"/>
      <c r="N165" s="105"/>
      <c r="O165" s="2"/>
      <c r="P165" s="2"/>
      <c r="Q165" s="2"/>
      <c r="R165" s="2"/>
      <c r="S165" s="2"/>
      <c r="T165" s="2"/>
      <c r="U165" s="2"/>
      <c r="V165" s="105"/>
    </row>
    <row r="166" spans="1:22" x14ac:dyDescent="0.25">
      <c r="A166" s="106"/>
      <c r="F166" s="105"/>
      <c r="H166" s="105"/>
      <c r="J166" s="105"/>
      <c r="K166" s="2"/>
      <c r="L166" s="105"/>
      <c r="M166" s="2"/>
      <c r="N166" s="105"/>
      <c r="O166" s="2"/>
      <c r="P166" s="2"/>
      <c r="Q166" s="2"/>
      <c r="R166" s="2"/>
      <c r="S166" s="2"/>
      <c r="T166" s="2"/>
      <c r="U166" s="2"/>
      <c r="V166" s="105"/>
    </row>
    <row r="167" spans="1:22" x14ac:dyDescent="0.25">
      <c r="A167" s="106"/>
      <c r="F167" s="105"/>
      <c r="H167" s="105"/>
      <c r="J167" s="105"/>
      <c r="K167" s="2"/>
      <c r="L167" s="105"/>
      <c r="M167" s="2"/>
      <c r="N167" s="105"/>
      <c r="O167" s="2"/>
      <c r="P167" s="2"/>
      <c r="Q167" s="2"/>
      <c r="R167" s="2"/>
      <c r="S167" s="2"/>
      <c r="T167" s="2"/>
      <c r="U167" s="2"/>
      <c r="V167" s="105"/>
    </row>
    <row r="168" spans="1:22" x14ac:dyDescent="0.25">
      <c r="A168" s="106"/>
      <c r="F168" s="105"/>
      <c r="H168" s="105"/>
      <c r="J168" s="105"/>
      <c r="K168" s="2"/>
      <c r="L168" s="105"/>
      <c r="M168" s="2"/>
      <c r="N168" s="105"/>
      <c r="O168" s="2"/>
      <c r="P168" s="2"/>
      <c r="Q168" s="2"/>
      <c r="R168" s="2"/>
      <c r="S168" s="2"/>
      <c r="T168" s="2"/>
      <c r="U168" s="2"/>
      <c r="V168" s="105"/>
    </row>
    <row r="169" spans="1:22" x14ac:dyDescent="0.25">
      <c r="A169" s="106"/>
      <c r="F169" s="105"/>
      <c r="H169" s="105"/>
      <c r="J169" s="105"/>
      <c r="K169" s="2"/>
      <c r="L169" s="105"/>
      <c r="M169" s="2"/>
      <c r="N169" s="105"/>
      <c r="O169" s="2"/>
      <c r="P169" s="2"/>
      <c r="Q169" s="2"/>
      <c r="R169" s="2"/>
      <c r="S169" s="2"/>
      <c r="T169" s="2"/>
      <c r="U169" s="2"/>
      <c r="V169" s="105"/>
    </row>
    <row r="170" spans="1:22" x14ac:dyDescent="0.25">
      <c r="A170" s="106"/>
      <c r="F170" s="105"/>
      <c r="H170" s="105"/>
      <c r="J170" s="105"/>
      <c r="K170" s="2"/>
      <c r="L170" s="105"/>
      <c r="M170" s="2"/>
      <c r="N170" s="105"/>
      <c r="O170" s="2"/>
      <c r="P170" s="2"/>
      <c r="Q170" s="2"/>
      <c r="R170" s="2"/>
      <c r="S170" s="2"/>
      <c r="T170" s="2"/>
      <c r="U170" s="2"/>
      <c r="V170" s="105"/>
    </row>
    <row r="171" spans="1:22" x14ac:dyDescent="0.25">
      <c r="A171" s="106"/>
      <c r="F171" s="105"/>
      <c r="H171" s="105"/>
      <c r="J171" s="105"/>
      <c r="K171" s="2"/>
      <c r="L171" s="105"/>
      <c r="M171" s="2"/>
      <c r="N171" s="105"/>
      <c r="O171" s="2"/>
      <c r="P171" s="2"/>
      <c r="Q171" s="2"/>
      <c r="R171" s="2"/>
      <c r="S171" s="2"/>
      <c r="T171" s="2"/>
      <c r="U171" s="2"/>
      <c r="V171" s="105"/>
    </row>
    <row r="172" spans="1:22" x14ac:dyDescent="0.25">
      <c r="A172" s="106"/>
      <c r="F172" s="105"/>
      <c r="H172" s="105"/>
      <c r="J172" s="105"/>
      <c r="K172" s="2"/>
      <c r="L172" s="105"/>
      <c r="M172" s="2"/>
      <c r="N172" s="105"/>
      <c r="O172" s="2"/>
      <c r="P172" s="2"/>
      <c r="Q172" s="2"/>
      <c r="R172" s="2"/>
      <c r="S172" s="2"/>
      <c r="T172" s="2"/>
      <c r="U172" s="2"/>
      <c r="V172" s="105"/>
    </row>
    <row r="173" spans="1:22" x14ac:dyDescent="0.25">
      <c r="A173" s="106"/>
      <c r="F173" s="105"/>
      <c r="H173" s="105"/>
      <c r="J173" s="105"/>
      <c r="K173" s="2"/>
      <c r="L173" s="105"/>
      <c r="M173" s="2"/>
      <c r="N173" s="105"/>
      <c r="O173" s="2"/>
      <c r="P173" s="2"/>
      <c r="Q173" s="2"/>
      <c r="R173" s="2"/>
      <c r="S173" s="2"/>
      <c r="T173" s="2"/>
      <c r="U173" s="2"/>
      <c r="V173" s="105"/>
    </row>
    <row r="174" spans="1:22" x14ac:dyDescent="0.25">
      <c r="A174" s="106"/>
      <c r="F174" s="105"/>
      <c r="H174" s="105"/>
      <c r="J174" s="105"/>
      <c r="K174" s="2"/>
      <c r="L174" s="105"/>
      <c r="M174" s="2"/>
      <c r="N174" s="105"/>
      <c r="O174" s="2"/>
      <c r="P174" s="2"/>
      <c r="Q174" s="2"/>
      <c r="R174" s="2"/>
      <c r="S174" s="2"/>
      <c r="T174" s="2"/>
      <c r="U174" s="2"/>
      <c r="V174" s="105"/>
    </row>
    <row r="175" spans="1:22" x14ac:dyDescent="0.25">
      <c r="A175" s="106"/>
      <c r="F175" s="105"/>
      <c r="H175" s="105"/>
      <c r="J175" s="105"/>
      <c r="K175" s="2"/>
      <c r="L175" s="105"/>
      <c r="M175" s="2"/>
      <c r="N175" s="105"/>
      <c r="O175" s="2"/>
      <c r="P175" s="2"/>
      <c r="Q175" s="2"/>
      <c r="R175" s="2"/>
      <c r="S175" s="2"/>
      <c r="T175" s="2"/>
      <c r="U175" s="2"/>
      <c r="V175" s="105"/>
    </row>
    <row r="176" spans="1:22" x14ac:dyDescent="0.25">
      <c r="A176" s="106"/>
      <c r="F176" s="105"/>
      <c r="H176" s="105"/>
      <c r="J176" s="105"/>
      <c r="K176" s="2"/>
      <c r="L176" s="105"/>
      <c r="M176" s="2"/>
      <c r="N176" s="105"/>
      <c r="O176" s="2"/>
      <c r="P176" s="2"/>
      <c r="Q176" s="2"/>
      <c r="R176" s="2"/>
      <c r="S176" s="2"/>
      <c r="T176" s="2"/>
      <c r="U176" s="2"/>
      <c r="V176" s="105"/>
    </row>
    <row r="177" spans="1:22" x14ac:dyDescent="0.25">
      <c r="A177" s="106"/>
      <c r="F177" s="105"/>
      <c r="H177" s="105"/>
      <c r="J177" s="105"/>
      <c r="K177" s="2"/>
      <c r="L177" s="105"/>
      <c r="M177" s="2"/>
      <c r="N177" s="105"/>
      <c r="O177" s="2"/>
      <c r="P177" s="2"/>
      <c r="Q177" s="2"/>
      <c r="R177" s="2"/>
      <c r="S177" s="2"/>
      <c r="T177" s="2"/>
      <c r="U177" s="2"/>
      <c r="V177" s="105"/>
    </row>
    <row r="178" spans="1:22" x14ac:dyDescent="0.25">
      <c r="A178" s="106"/>
      <c r="F178" s="105"/>
      <c r="H178" s="105"/>
      <c r="J178" s="105"/>
      <c r="K178" s="2"/>
      <c r="L178" s="105"/>
      <c r="M178" s="2"/>
      <c r="N178" s="105"/>
      <c r="O178" s="2"/>
      <c r="P178" s="2"/>
      <c r="Q178" s="2"/>
      <c r="R178" s="2"/>
      <c r="S178" s="2"/>
      <c r="T178" s="2"/>
      <c r="U178" s="2"/>
      <c r="V178" s="105"/>
    </row>
    <row r="179" spans="1:22" x14ac:dyDescent="0.25">
      <c r="A179" s="106"/>
      <c r="F179" s="105"/>
      <c r="H179" s="105"/>
      <c r="J179" s="105"/>
      <c r="K179" s="2"/>
      <c r="L179" s="105"/>
      <c r="M179" s="2"/>
      <c r="N179" s="105"/>
      <c r="O179" s="2"/>
      <c r="P179" s="2"/>
      <c r="Q179" s="2"/>
      <c r="R179" s="2"/>
      <c r="S179" s="2"/>
      <c r="T179" s="2"/>
      <c r="U179" s="2"/>
      <c r="V179" s="105"/>
    </row>
    <row r="180" spans="1:22" x14ac:dyDescent="0.25">
      <c r="A180" s="106"/>
      <c r="F180" s="105"/>
      <c r="H180" s="105"/>
      <c r="J180" s="105"/>
      <c r="K180" s="2"/>
      <c r="L180" s="105"/>
      <c r="M180" s="2"/>
      <c r="N180" s="105"/>
      <c r="O180" s="2"/>
      <c r="P180" s="2"/>
      <c r="Q180" s="2"/>
      <c r="R180" s="2"/>
      <c r="S180" s="2"/>
      <c r="T180" s="2"/>
      <c r="U180" s="2"/>
      <c r="V180" s="105"/>
    </row>
    <row r="181" spans="1:22" x14ac:dyDescent="0.25">
      <c r="A181" s="106"/>
      <c r="F181" s="105"/>
      <c r="H181" s="105"/>
      <c r="J181" s="105"/>
      <c r="K181" s="2"/>
      <c r="L181" s="105"/>
      <c r="M181" s="2"/>
      <c r="N181" s="105"/>
      <c r="O181" s="2"/>
      <c r="P181" s="2"/>
      <c r="Q181" s="2"/>
      <c r="R181" s="2"/>
      <c r="S181" s="2"/>
      <c r="T181" s="2"/>
      <c r="U181" s="2"/>
      <c r="V181" s="105"/>
    </row>
    <row r="182" spans="1:22" x14ac:dyDescent="0.25">
      <c r="A182" s="106"/>
      <c r="F182" s="105"/>
      <c r="H182" s="105"/>
      <c r="J182" s="105"/>
      <c r="K182" s="2"/>
      <c r="L182" s="105"/>
      <c r="M182" s="2"/>
      <c r="N182" s="105"/>
      <c r="O182" s="2"/>
      <c r="P182" s="2"/>
      <c r="Q182" s="2"/>
      <c r="R182" s="2"/>
      <c r="S182" s="2"/>
      <c r="T182" s="2"/>
      <c r="U182" s="2"/>
      <c r="V182" s="105"/>
    </row>
    <row r="183" spans="1:22" x14ac:dyDescent="0.25">
      <c r="A183" s="106"/>
      <c r="F183" s="105"/>
      <c r="H183" s="105"/>
      <c r="J183" s="105"/>
      <c r="K183" s="2"/>
      <c r="L183" s="105"/>
      <c r="M183" s="2"/>
      <c r="N183" s="105"/>
      <c r="O183" s="2"/>
      <c r="P183" s="2"/>
      <c r="Q183" s="2"/>
      <c r="R183" s="2"/>
      <c r="S183" s="2"/>
      <c r="T183" s="2"/>
      <c r="U183" s="2"/>
      <c r="V183" s="105"/>
    </row>
    <row r="184" spans="1:22" x14ac:dyDescent="0.25">
      <c r="A184" s="106"/>
      <c r="F184" s="105"/>
      <c r="H184" s="105"/>
      <c r="J184" s="105"/>
      <c r="K184" s="2"/>
      <c r="L184" s="105"/>
      <c r="M184" s="2"/>
      <c r="N184" s="105"/>
      <c r="O184" s="2"/>
      <c r="P184" s="2"/>
      <c r="Q184" s="2"/>
      <c r="R184" s="2"/>
      <c r="S184" s="2"/>
      <c r="T184" s="2"/>
      <c r="U184" s="2"/>
      <c r="V184" s="105"/>
    </row>
    <row r="185" spans="1:22" x14ac:dyDescent="0.25">
      <c r="A185" s="106"/>
      <c r="F185" s="105"/>
      <c r="H185" s="105"/>
      <c r="J185" s="105"/>
      <c r="K185" s="2"/>
      <c r="L185" s="105"/>
      <c r="M185" s="2"/>
      <c r="N185" s="105"/>
      <c r="O185" s="2"/>
      <c r="P185" s="2"/>
      <c r="Q185" s="2"/>
      <c r="R185" s="2"/>
      <c r="S185" s="2"/>
      <c r="T185" s="2"/>
      <c r="U185" s="2"/>
      <c r="V185" s="105"/>
    </row>
    <row r="186" spans="1:22" x14ac:dyDescent="0.25">
      <c r="A186" s="106"/>
      <c r="F186" s="105"/>
      <c r="H186" s="105"/>
      <c r="J186" s="105"/>
      <c r="K186" s="2"/>
      <c r="L186" s="105"/>
      <c r="M186" s="2"/>
      <c r="N186" s="105"/>
      <c r="O186" s="2"/>
      <c r="P186" s="2"/>
      <c r="Q186" s="2"/>
      <c r="R186" s="2"/>
      <c r="S186" s="2"/>
      <c r="T186" s="2"/>
      <c r="U186" s="2"/>
      <c r="V186" s="105"/>
    </row>
    <row r="187" spans="1:22" x14ac:dyDescent="0.25">
      <c r="A187" s="106"/>
      <c r="F187" s="105"/>
      <c r="H187" s="105"/>
      <c r="J187" s="105"/>
      <c r="K187" s="2"/>
      <c r="L187" s="105"/>
      <c r="M187" s="2"/>
      <c r="N187" s="105"/>
      <c r="O187" s="2"/>
      <c r="P187" s="2"/>
      <c r="Q187" s="2"/>
      <c r="R187" s="2"/>
      <c r="S187" s="2"/>
      <c r="T187" s="2"/>
      <c r="U187" s="2"/>
      <c r="V187" s="105"/>
    </row>
    <row r="188" spans="1:22" x14ac:dyDescent="0.25">
      <c r="A188" s="106"/>
      <c r="F188" s="105"/>
      <c r="H188" s="105"/>
      <c r="J188" s="105"/>
      <c r="K188" s="2"/>
      <c r="L188" s="105"/>
      <c r="M188" s="2"/>
      <c r="N188" s="105"/>
      <c r="O188" s="2"/>
      <c r="P188" s="2"/>
      <c r="Q188" s="2"/>
      <c r="R188" s="2"/>
      <c r="S188" s="2"/>
      <c r="T188" s="2"/>
      <c r="U188" s="2"/>
      <c r="V188" s="105"/>
    </row>
    <row r="189" spans="1:22" x14ac:dyDescent="0.25">
      <c r="A189" s="106"/>
      <c r="F189" s="105"/>
      <c r="H189" s="105"/>
      <c r="J189" s="105"/>
      <c r="K189" s="2"/>
      <c r="L189" s="105"/>
      <c r="M189" s="2"/>
      <c r="N189" s="105"/>
      <c r="O189" s="2"/>
      <c r="P189" s="2"/>
      <c r="Q189" s="2"/>
      <c r="R189" s="2"/>
      <c r="S189" s="2"/>
      <c r="T189" s="2"/>
      <c r="U189" s="2"/>
      <c r="V189" s="105"/>
    </row>
    <row r="190" spans="1:22" x14ac:dyDescent="0.25">
      <c r="A190" s="106"/>
      <c r="F190" s="105"/>
      <c r="H190" s="105"/>
      <c r="J190" s="105"/>
      <c r="K190" s="2"/>
      <c r="L190" s="105"/>
      <c r="M190" s="2"/>
      <c r="N190" s="105"/>
      <c r="O190" s="2"/>
      <c r="P190" s="2"/>
      <c r="Q190" s="2"/>
      <c r="R190" s="2"/>
      <c r="S190" s="2"/>
      <c r="T190" s="2"/>
      <c r="U190" s="2"/>
      <c r="V190" s="105"/>
    </row>
    <row r="191" spans="1:22" x14ac:dyDescent="0.25">
      <c r="A191" s="106"/>
      <c r="F191" s="105"/>
      <c r="H191" s="105"/>
      <c r="J191" s="105"/>
      <c r="K191" s="2"/>
      <c r="L191" s="105"/>
      <c r="M191" s="2"/>
      <c r="N191" s="105"/>
      <c r="O191" s="2"/>
      <c r="P191" s="2"/>
      <c r="Q191" s="2"/>
      <c r="R191" s="2"/>
      <c r="S191" s="2"/>
      <c r="T191" s="2"/>
      <c r="U191" s="2"/>
      <c r="V191" s="105"/>
    </row>
    <row r="192" spans="1:22" x14ac:dyDescent="0.25">
      <c r="A192" s="106"/>
      <c r="F192" s="105"/>
      <c r="H192" s="105"/>
      <c r="J192" s="105"/>
      <c r="K192" s="2"/>
      <c r="L192" s="105"/>
      <c r="M192" s="2"/>
      <c r="N192" s="105"/>
      <c r="O192" s="2"/>
      <c r="P192" s="2"/>
      <c r="Q192" s="2"/>
      <c r="R192" s="2"/>
      <c r="S192" s="2"/>
      <c r="T192" s="2"/>
      <c r="U192" s="2"/>
      <c r="V192" s="105"/>
    </row>
    <row r="193" spans="1:22" x14ac:dyDescent="0.25">
      <c r="A193" s="106"/>
      <c r="F193" s="105"/>
      <c r="H193" s="105"/>
      <c r="J193" s="105"/>
      <c r="K193" s="2"/>
      <c r="L193" s="105"/>
      <c r="M193" s="2"/>
      <c r="N193" s="105"/>
      <c r="O193" s="2"/>
      <c r="P193" s="2"/>
      <c r="Q193" s="2"/>
      <c r="R193" s="2"/>
      <c r="S193" s="2"/>
      <c r="T193" s="2"/>
      <c r="U193" s="2"/>
      <c r="V193" s="105"/>
    </row>
    <row r="194" spans="1:22" x14ac:dyDescent="0.25">
      <c r="A194" s="106"/>
      <c r="F194" s="105"/>
      <c r="H194" s="105"/>
      <c r="J194" s="105"/>
      <c r="K194" s="2"/>
      <c r="L194" s="105"/>
      <c r="M194" s="2"/>
      <c r="N194" s="105"/>
      <c r="O194" s="2"/>
      <c r="P194" s="2"/>
      <c r="Q194" s="2"/>
      <c r="R194" s="2"/>
      <c r="S194" s="2"/>
      <c r="T194" s="2"/>
      <c r="U194" s="2"/>
      <c r="V194" s="105"/>
    </row>
    <row r="195" spans="1:22" x14ac:dyDescent="0.25">
      <c r="A195" s="106"/>
      <c r="F195" s="105"/>
      <c r="H195" s="105"/>
      <c r="J195" s="105"/>
      <c r="K195" s="2"/>
      <c r="L195" s="105"/>
      <c r="M195" s="2"/>
      <c r="N195" s="105"/>
      <c r="O195" s="2"/>
      <c r="P195" s="2"/>
      <c r="Q195" s="2"/>
      <c r="R195" s="2"/>
      <c r="S195" s="2"/>
      <c r="T195" s="2"/>
      <c r="U195" s="2"/>
      <c r="V195" s="105"/>
    </row>
    <row r="196" spans="1:22" x14ac:dyDescent="0.25">
      <c r="A196" s="106"/>
      <c r="F196" s="105"/>
      <c r="H196" s="105"/>
      <c r="J196" s="105"/>
      <c r="K196" s="2"/>
      <c r="L196" s="105"/>
      <c r="M196" s="2"/>
      <c r="N196" s="105"/>
      <c r="O196" s="2"/>
      <c r="P196" s="2"/>
      <c r="Q196" s="2"/>
      <c r="R196" s="2"/>
      <c r="S196" s="2"/>
      <c r="T196" s="2"/>
      <c r="U196" s="2"/>
      <c r="V196" s="105"/>
    </row>
    <row r="197" spans="1:22" x14ac:dyDescent="0.25">
      <c r="A197" s="106"/>
      <c r="F197" s="105"/>
      <c r="H197" s="105"/>
      <c r="J197" s="105"/>
      <c r="K197" s="2"/>
      <c r="L197" s="105"/>
      <c r="M197" s="2"/>
      <c r="N197" s="105"/>
      <c r="O197" s="2"/>
      <c r="P197" s="2"/>
      <c r="Q197" s="2"/>
      <c r="R197" s="2"/>
      <c r="S197" s="2"/>
      <c r="T197" s="2"/>
      <c r="U197" s="2"/>
      <c r="V197" s="105"/>
    </row>
    <row r="198" spans="1:22" x14ac:dyDescent="0.25">
      <c r="A198" s="106"/>
      <c r="F198" s="105"/>
      <c r="H198" s="105"/>
      <c r="J198" s="105"/>
      <c r="K198" s="2"/>
      <c r="L198" s="105"/>
      <c r="M198" s="2"/>
      <c r="N198" s="105"/>
      <c r="O198" s="2"/>
      <c r="P198" s="2"/>
      <c r="Q198" s="2"/>
      <c r="R198" s="2"/>
      <c r="S198" s="2"/>
      <c r="T198" s="2"/>
      <c r="U198" s="2"/>
      <c r="V198" s="105"/>
    </row>
    <row r="199" spans="1:22" x14ac:dyDescent="0.25">
      <c r="A199" s="106"/>
      <c r="F199" s="105"/>
      <c r="H199" s="105"/>
      <c r="J199" s="105"/>
      <c r="K199" s="2"/>
      <c r="L199" s="105"/>
      <c r="M199" s="2"/>
      <c r="N199" s="105"/>
      <c r="O199" s="2"/>
      <c r="P199" s="2"/>
      <c r="Q199" s="2"/>
      <c r="R199" s="2"/>
      <c r="S199" s="2"/>
      <c r="T199" s="2"/>
      <c r="U199" s="2"/>
      <c r="V199" s="105"/>
    </row>
    <row r="200" spans="1:22" x14ac:dyDescent="0.25">
      <c r="A200" s="106"/>
      <c r="F200" s="105"/>
      <c r="H200" s="105"/>
      <c r="J200" s="105"/>
      <c r="K200" s="2"/>
      <c r="L200" s="105"/>
      <c r="M200" s="2"/>
      <c r="N200" s="105"/>
      <c r="O200" s="2"/>
      <c r="P200" s="2"/>
      <c r="Q200" s="2"/>
      <c r="R200" s="2"/>
      <c r="S200" s="2"/>
      <c r="T200" s="2"/>
      <c r="U200" s="2"/>
      <c r="V200" s="105"/>
    </row>
    <row r="201" spans="1:22" x14ac:dyDescent="0.25">
      <c r="A201" s="106"/>
      <c r="F201" s="105"/>
      <c r="H201" s="105"/>
      <c r="J201" s="105"/>
      <c r="K201" s="2"/>
      <c r="L201" s="105"/>
      <c r="M201" s="2"/>
      <c r="N201" s="105"/>
      <c r="O201" s="2"/>
      <c r="P201" s="2"/>
      <c r="Q201" s="2"/>
      <c r="R201" s="2"/>
      <c r="S201" s="2"/>
      <c r="T201" s="2"/>
      <c r="U201" s="2"/>
      <c r="V201" s="105"/>
    </row>
    <row r="202" spans="1:22" x14ac:dyDescent="0.25">
      <c r="A202" s="106"/>
      <c r="F202" s="105"/>
      <c r="H202" s="105"/>
      <c r="J202" s="105"/>
      <c r="K202" s="2"/>
      <c r="L202" s="105"/>
      <c r="M202" s="2"/>
      <c r="N202" s="105"/>
      <c r="O202" s="2"/>
      <c r="P202" s="2"/>
      <c r="Q202" s="2"/>
      <c r="R202" s="2"/>
      <c r="S202" s="2"/>
      <c r="T202" s="2"/>
      <c r="U202" s="2"/>
      <c r="V202" s="105"/>
    </row>
    <row r="203" spans="1:22" x14ac:dyDescent="0.25">
      <c r="A203" s="106"/>
      <c r="F203" s="105"/>
      <c r="H203" s="105"/>
      <c r="J203" s="105"/>
      <c r="K203" s="2"/>
      <c r="L203" s="105"/>
      <c r="M203" s="2"/>
      <c r="N203" s="105"/>
      <c r="O203" s="2"/>
      <c r="P203" s="2"/>
      <c r="Q203" s="2"/>
      <c r="R203" s="2"/>
      <c r="S203" s="2"/>
      <c r="T203" s="2"/>
      <c r="U203" s="2"/>
      <c r="V203" s="105"/>
    </row>
    <row r="204" spans="1:22" x14ac:dyDescent="0.25">
      <c r="A204" s="106"/>
      <c r="F204" s="105"/>
      <c r="H204" s="105"/>
      <c r="J204" s="105"/>
      <c r="K204" s="2"/>
      <c r="L204" s="105"/>
      <c r="M204" s="2"/>
      <c r="N204" s="105"/>
      <c r="O204" s="2"/>
      <c r="P204" s="2"/>
      <c r="Q204" s="2"/>
      <c r="R204" s="2"/>
      <c r="S204" s="2"/>
      <c r="T204" s="2"/>
      <c r="U204" s="2"/>
      <c r="V204" s="105"/>
    </row>
    <row r="205" spans="1:22" x14ac:dyDescent="0.25">
      <c r="A205" s="106"/>
      <c r="F205" s="105"/>
      <c r="H205" s="105"/>
      <c r="J205" s="105"/>
      <c r="K205" s="2"/>
      <c r="L205" s="105"/>
      <c r="M205" s="2"/>
      <c r="N205" s="105"/>
      <c r="O205" s="2"/>
      <c r="P205" s="2"/>
      <c r="Q205" s="2"/>
      <c r="R205" s="2"/>
      <c r="S205" s="2"/>
      <c r="T205" s="2"/>
      <c r="U205" s="2"/>
      <c r="V205" s="105"/>
    </row>
    <row r="206" spans="1:22" x14ac:dyDescent="0.25">
      <c r="A206" s="106"/>
      <c r="F206" s="105"/>
      <c r="H206" s="105"/>
      <c r="J206" s="105"/>
      <c r="K206" s="2"/>
      <c r="L206" s="105"/>
      <c r="M206" s="2"/>
      <c r="N206" s="105"/>
      <c r="O206" s="2"/>
      <c r="P206" s="2"/>
      <c r="Q206" s="2"/>
      <c r="R206" s="2"/>
      <c r="S206" s="2"/>
      <c r="T206" s="2"/>
      <c r="U206" s="2"/>
      <c r="V206" s="105"/>
    </row>
    <row r="207" spans="1:22" x14ac:dyDescent="0.25">
      <c r="A207" s="106"/>
      <c r="F207" s="105"/>
      <c r="H207" s="105"/>
      <c r="J207" s="105"/>
      <c r="K207" s="2"/>
      <c r="L207" s="105"/>
      <c r="M207" s="2"/>
      <c r="N207" s="105"/>
      <c r="O207" s="2"/>
      <c r="P207" s="2"/>
      <c r="Q207" s="2"/>
      <c r="R207" s="2"/>
      <c r="S207" s="2"/>
      <c r="T207" s="2"/>
      <c r="U207" s="2"/>
      <c r="V207" s="105"/>
    </row>
    <row r="208" spans="1:22" x14ac:dyDescent="0.25">
      <c r="A208" s="106"/>
      <c r="F208" s="105"/>
      <c r="H208" s="105"/>
      <c r="J208" s="105"/>
      <c r="K208" s="2"/>
      <c r="L208" s="105"/>
      <c r="M208" s="2"/>
      <c r="N208" s="105"/>
      <c r="O208" s="2"/>
      <c r="P208" s="2"/>
      <c r="Q208" s="2"/>
      <c r="R208" s="2"/>
      <c r="S208" s="2"/>
      <c r="T208" s="2"/>
      <c r="U208" s="2"/>
      <c r="V208" s="105"/>
    </row>
    <row r="209" spans="1:22" x14ac:dyDescent="0.25">
      <c r="A209" s="106"/>
      <c r="F209" s="105"/>
      <c r="H209" s="105"/>
      <c r="J209" s="105"/>
      <c r="K209" s="2"/>
      <c r="L209" s="105"/>
      <c r="M209" s="2"/>
      <c r="N209" s="105"/>
      <c r="O209" s="2"/>
      <c r="P209" s="2"/>
      <c r="Q209" s="2"/>
      <c r="R209" s="2"/>
      <c r="S209" s="2"/>
      <c r="T209" s="2"/>
      <c r="U209" s="2"/>
      <c r="V209" s="105"/>
    </row>
    <row r="210" spans="1:22" x14ac:dyDescent="0.25">
      <c r="A210" s="106"/>
      <c r="F210" s="105"/>
      <c r="H210" s="105"/>
      <c r="J210" s="105"/>
      <c r="K210" s="2"/>
      <c r="L210" s="105"/>
      <c r="M210" s="2"/>
      <c r="N210" s="105"/>
      <c r="O210" s="2"/>
      <c r="P210" s="2"/>
      <c r="Q210" s="2"/>
      <c r="R210" s="2"/>
      <c r="S210" s="2"/>
      <c r="T210" s="2"/>
      <c r="U210" s="2"/>
      <c r="V210" s="105"/>
    </row>
    <row r="211" spans="1:22" x14ac:dyDescent="0.25">
      <c r="A211" s="106"/>
      <c r="F211" s="105"/>
      <c r="H211" s="105"/>
      <c r="J211" s="105"/>
      <c r="K211" s="2"/>
      <c r="L211" s="105"/>
      <c r="M211" s="2"/>
      <c r="N211" s="105"/>
      <c r="O211" s="2"/>
      <c r="P211" s="2"/>
      <c r="Q211" s="2"/>
      <c r="R211" s="2"/>
      <c r="S211" s="2"/>
      <c r="T211" s="2"/>
      <c r="U211" s="2"/>
      <c r="V211" s="105"/>
    </row>
    <row r="212" spans="1:22" x14ac:dyDescent="0.25">
      <c r="A212" s="106"/>
      <c r="F212" s="105"/>
      <c r="H212" s="105"/>
      <c r="J212" s="105"/>
      <c r="K212" s="2"/>
      <c r="L212" s="105"/>
      <c r="M212" s="2"/>
      <c r="N212" s="105"/>
      <c r="O212" s="2"/>
      <c r="P212" s="2"/>
      <c r="Q212" s="2"/>
      <c r="R212" s="2"/>
      <c r="S212" s="2"/>
      <c r="T212" s="2"/>
      <c r="U212" s="2"/>
      <c r="V212" s="105"/>
    </row>
    <row r="213" spans="1:22" x14ac:dyDescent="0.25">
      <c r="A213" s="106"/>
      <c r="F213" s="105"/>
      <c r="H213" s="105"/>
      <c r="J213" s="105"/>
      <c r="K213" s="2"/>
      <c r="L213" s="105"/>
      <c r="M213" s="2"/>
      <c r="N213" s="105"/>
      <c r="O213" s="2"/>
      <c r="P213" s="2"/>
      <c r="Q213" s="2"/>
      <c r="R213" s="2"/>
      <c r="S213" s="2"/>
      <c r="T213" s="2"/>
      <c r="U213" s="2"/>
      <c r="V213" s="105"/>
    </row>
    <row r="214" spans="1:22" x14ac:dyDescent="0.25">
      <c r="A214" s="106"/>
      <c r="F214" s="105"/>
      <c r="H214" s="105"/>
      <c r="J214" s="105"/>
      <c r="K214" s="2"/>
      <c r="L214" s="105"/>
      <c r="M214" s="2"/>
      <c r="N214" s="105"/>
      <c r="O214" s="2"/>
      <c r="P214" s="2"/>
      <c r="Q214" s="2"/>
      <c r="R214" s="2"/>
      <c r="S214" s="2"/>
      <c r="T214" s="2"/>
      <c r="U214" s="2"/>
      <c r="V214" s="105"/>
    </row>
    <row r="215" spans="1:22" x14ac:dyDescent="0.25">
      <c r="A215" s="106"/>
      <c r="F215" s="105"/>
      <c r="H215" s="105"/>
      <c r="J215" s="105"/>
      <c r="K215" s="2"/>
      <c r="L215" s="105"/>
      <c r="M215" s="2"/>
      <c r="N215" s="105"/>
      <c r="O215" s="2"/>
      <c r="P215" s="2"/>
      <c r="Q215" s="2"/>
      <c r="R215" s="2"/>
      <c r="S215" s="2"/>
      <c r="T215" s="2"/>
      <c r="U215" s="2"/>
      <c r="V215" s="105"/>
    </row>
    <row r="216" spans="1:22" x14ac:dyDescent="0.25">
      <c r="A216" s="106"/>
      <c r="F216" s="105"/>
      <c r="H216" s="105"/>
      <c r="J216" s="105"/>
      <c r="K216" s="2"/>
      <c r="L216" s="105"/>
      <c r="M216" s="2"/>
      <c r="N216" s="105"/>
      <c r="O216" s="2"/>
      <c r="P216" s="2"/>
      <c r="Q216" s="2"/>
      <c r="R216" s="2"/>
      <c r="S216" s="2"/>
      <c r="T216" s="2"/>
      <c r="U216" s="2"/>
      <c r="V216" s="105"/>
    </row>
    <row r="217" spans="1:22" x14ac:dyDescent="0.25">
      <c r="A217" s="106"/>
      <c r="F217" s="105"/>
      <c r="H217" s="105"/>
      <c r="J217" s="105"/>
      <c r="K217" s="2"/>
      <c r="L217" s="105"/>
      <c r="M217" s="2"/>
      <c r="N217" s="105"/>
      <c r="O217" s="2"/>
      <c r="P217" s="2"/>
      <c r="Q217" s="2"/>
      <c r="R217" s="2"/>
      <c r="S217" s="2"/>
      <c r="T217" s="2"/>
      <c r="U217" s="2"/>
      <c r="V217" s="105"/>
    </row>
    <row r="218" spans="1:22" x14ac:dyDescent="0.25">
      <c r="A218" s="106"/>
      <c r="F218" s="105"/>
      <c r="H218" s="105"/>
      <c r="J218" s="105"/>
      <c r="K218" s="2"/>
      <c r="L218" s="105"/>
      <c r="M218" s="2"/>
      <c r="N218" s="105"/>
      <c r="O218" s="2"/>
      <c r="P218" s="2"/>
      <c r="Q218" s="2"/>
      <c r="R218" s="2"/>
      <c r="S218" s="2"/>
      <c r="T218" s="2"/>
      <c r="U218" s="2"/>
      <c r="V218" s="105"/>
    </row>
    <row r="219" spans="1:22" x14ac:dyDescent="0.25">
      <c r="A219" s="106"/>
      <c r="F219" s="105"/>
      <c r="H219" s="105"/>
      <c r="J219" s="105"/>
      <c r="K219" s="2"/>
      <c r="L219" s="105"/>
      <c r="M219" s="2"/>
      <c r="N219" s="105"/>
      <c r="O219" s="2"/>
      <c r="P219" s="2"/>
      <c r="Q219" s="2"/>
      <c r="R219" s="2"/>
      <c r="S219" s="2"/>
      <c r="T219" s="2"/>
      <c r="U219" s="2"/>
      <c r="V219" s="105"/>
    </row>
    <row r="220" spans="1:22" x14ac:dyDescent="0.25">
      <c r="A220" s="106"/>
      <c r="F220" s="105"/>
      <c r="H220" s="105"/>
      <c r="J220" s="105"/>
      <c r="K220" s="2"/>
      <c r="L220" s="105"/>
      <c r="M220" s="2"/>
      <c r="N220" s="105"/>
      <c r="O220" s="2"/>
      <c r="P220" s="2"/>
      <c r="Q220" s="2"/>
      <c r="R220" s="2"/>
      <c r="S220" s="2"/>
      <c r="T220" s="2"/>
      <c r="U220" s="2"/>
      <c r="V220" s="105"/>
    </row>
    <row r="221" spans="1:22" x14ac:dyDescent="0.25">
      <c r="A221" s="106"/>
      <c r="F221" s="105"/>
      <c r="H221" s="105"/>
      <c r="J221" s="105"/>
      <c r="K221" s="2"/>
      <c r="L221" s="105"/>
      <c r="M221" s="2"/>
      <c r="N221" s="105"/>
      <c r="O221" s="2"/>
      <c r="P221" s="2"/>
      <c r="Q221" s="2"/>
      <c r="R221" s="2"/>
      <c r="S221" s="2"/>
      <c r="T221" s="2"/>
      <c r="U221" s="2"/>
      <c r="V221" s="105"/>
    </row>
    <row r="222" spans="1:22" x14ac:dyDescent="0.25">
      <c r="A222" s="106"/>
      <c r="F222" s="105"/>
      <c r="H222" s="105"/>
      <c r="J222" s="105"/>
      <c r="K222" s="2"/>
      <c r="L222" s="105"/>
      <c r="M222" s="2"/>
      <c r="N222" s="105"/>
      <c r="O222" s="2"/>
      <c r="P222" s="2"/>
      <c r="Q222" s="2"/>
      <c r="R222" s="2"/>
      <c r="S222" s="2"/>
      <c r="T222" s="2"/>
      <c r="U222" s="2"/>
      <c r="V222" s="105"/>
    </row>
    <row r="223" spans="1:22" x14ac:dyDescent="0.25">
      <c r="A223" s="106"/>
      <c r="F223" s="105"/>
      <c r="H223" s="105"/>
      <c r="J223" s="105"/>
      <c r="K223" s="2"/>
      <c r="L223" s="105"/>
      <c r="M223" s="2"/>
      <c r="N223" s="105"/>
      <c r="O223" s="2"/>
      <c r="P223" s="2"/>
      <c r="Q223" s="2"/>
      <c r="R223" s="2"/>
      <c r="S223" s="2"/>
      <c r="T223" s="2"/>
      <c r="U223" s="2"/>
      <c r="V223" s="105"/>
    </row>
    <row r="224" spans="1:22" x14ac:dyDescent="0.25">
      <c r="A224" s="106"/>
      <c r="F224" s="105"/>
      <c r="H224" s="105"/>
      <c r="J224" s="105"/>
      <c r="K224" s="2"/>
      <c r="L224" s="105"/>
      <c r="M224" s="2"/>
      <c r="N224" s="105"/>
      <c r="O224" s="2"/>
      <c r="P224" s="2"/>
      <c r="Q224" s="2"/>
      <c r="R224" s="2"/>
      <c r="S224" s="2"/>
      <c r="T224" s="2"/>
      <c r="U224" s="2"/>
      <c r="V224" s="105"/>
    </row>
    <row r="225" spans="1:22" x14ac:dyDescent="0.25">
      <c r="A225" s="106"/>
      <c r="F225" s="105"/>
      <c r="H225" s="105"/>
      <c r="J225" s="105"/>
      <c r="K225" s="2"/>
      <c r="L225" s="105"/>
      <c r="M225" s="2"/>
      <c r="N225" s="105"/>
      <c r="O225" s="2"/>
      <c r="P225" s="2"/>
      <c r="Q225" s="2"/>
      <c r="R225" s="2"/>
      <c r="S225" s="2"/>
      <c r="T225" s="2"/>
      <c r="U225" s="2"/>
      <c r="V225" s="105"/>
    </row>
    <row r="226" spans="1:22" x14ac:dyDescent="0.25">
      <c r="A226" s="106"/>
      <c r="F226" s="105"/>
      <c r="H226" s="105"/>
      <c r="J226" s="105"/>
      <c r="K226" s="2"/>
      <c r="L226" s="105"/>
      <c r="M226" s="2"/>
      <c r="N226" s="105"/>
      <c r="O226" s="2"/>
      <c r="P226" s="2"/>
      <c r="Q226" s="2"/>
      <c r="R226" s="2"/>
      <c r="S226" s="2"/>
      <c r="T226" s="2"/>
      <c r="U226" s="2"/>
      <c r="V226" s="105"/>
    </row>
    <row r="227" spans="1:22" x14ac:dyDescent="0.25">
      <c r="A227" s="106"/>
      <c r="F227" s="105"/>
      <c r="H227" s="105"/>
      <c r="J227" s="105"/>
      <c r="K227" s="2"/>
      <c r="L227" s="105"/>
      <c r="M227" s="2"/>
      <c r="N227" s="105"/>
      <c r="O227" s="2"/>
      <c r="P227" s="2"/>
      <c r="Q227" s="2"/>
      <c r="R227" s="2"/>
      <c r="S227" s="2"/>
      <c r="T227" s="2"/>
      <c r="U227" s="2"/>
      <c r="V227" s="105"/>
    </row>
    <row r="228" spans="1:22" x14ac:dyDescent="0.25">
      <c r="A228" s="106"/>
      <c r="F228" s="105"/>
      <c r="H228" s="105"/>
      <c r="J228" s="105"/>
      <c r="K228" s="2"/>
      <c r="L228" s="105"/>
      <c r="M228" s="2"/>
      <c r="N228" s="105"/>
      <c r="O228" s="2"/>
      <c r="P228" s="2"/>
      <c r="Q228" s="2"/>
      <c r="R228" s="2"/>
      <c r="S228" s="2"/>
      <c r="T228" s="2"/>
      <c r="U228" s="2"/>
      <c r="V228" s="105"/>
    </row>
    <row r="229" spans="1:22" x14ac:dyDescent="0.25">
      <c r="A229" s="106"/>
      <c r="F229" s="105"/>
      <c r="H229" s="105"/>
      <c r="J229" s="105"/>
      <c r="K229" s="2"/>
      <c r="L229" s="105"/>
      <c r="M229" s="2"/>
      <c r="N229" s="105"/>
      <c r="O229" s="2"/>
      <c r="P229" s="2"/>
      <c r="Q229" s="2"/>
      <c r="R229" s="2"/>
      <c r="S229" s="2"/>
      <c r="T229" s="2"/>
      <c r="U229" s="2"/>
      <c r="V229" s="105"/>
    </row>
    <row r="230" spans="1:22" x14ac:dyDescent="0.25">
      <c r="A230" s="106"/>
      <c r="F230" s="105"/>
      <c r="H230" s="105"/>
      <c r="J230" s="105"/>
      <c r="K230" s="2"/>
      <c r="L230" s="105"/>
      <c r="M230" s="2"/>
      <c r="N230" s="105"/>
      <c r="O230" s="2"/>
      <c r="P230" s="2"/>
      <c r="Q230" s="2"/>
      <c r="R230" s="2"/>
      <c r="S230" s="2"/>
      <c r="T230" s="2"/>
      <c r="U230" s="2"/>
      <c r="V230" s="105"/>
    </row>
    <row r="231" spans="1:22" x14ac:dyDescent="0.25">
      <c r="A231" s="106"/>
      <c r="F231" s="105"/>
      <c r="H231" s="105"/>
      <c r="J231" s="105"/>
      <c r="K231" s="2"/>
      <c r="L231" s="105"/>
      <c r="M231" s="2"/>
      <c r="N231" s="105"/>
      <c r="O231" s="2"/>
      <c r="P231" s="2"/>
      <c r="Q231" s="2"/>
      <c r="R231" s="2"/>
      <c r="S231" s="2"/>
      <c r="T231" s="2"/>
      <c r="U231" s="2"/>
      <c r="V231" s="105"/>
    </row>
    <row r="232" spans="1:22" x14ac:dyDescent="0.25">
      <c r="A232" s="106"/>
      <c r="F232" s="105"/>
      <c r="H232" s="105"/>
      <c r="J232" s="105"/>
      <c r="K232" s="2"/>
      <c r="L232" s="105"/>
      <c r="M232" s="2"/>
      <c r="N232" s="105"/>
      <c r="O232" s="2"/>
      <c r="P232" s="2"/>
      <c r="Q232" s="2"/>
      <c r="R232" s="2"/>
      <c r="S232" s="2"/>
      <c r="T232" s="2"/>
      <c r="U232" s="2"/>
      <c r="V232" s="105"/>
    </row>
    <row r="233" spans="1:22" x14ac:dyDescent="0.25">
      <c r="A233" s="106"/>
      <c r="F233" s="105"/>
      <c r="H233" s="105"/>
      <c r="J233" s="105"/>
      <c r="K233" s="2"/>
      <c r="L233" s="105"/>
      <c r="M233" s="2"/>
      <c r="N233" s="105"/>
      <c r="O233" s="2"/>
      <c r="P233" s="2"/>
      <c r="Q233" s="2"/>
      <c r="R233" s="2"/>
      <c r="S233" s="2"/>
      <c r="T233" s="2"/>
      <c r="U233" s="2"/>
      <c r="V233" s="105"/>
    </row>
    <row r="234" spans="1:22" x14ac:dyDescent="0.25">
      <c r="A234" s="106"/>
      <c r="F234" s="105"/>
      <c r="H234" s="105"/>
      <c r="J234" s="105"/>
      <c r="K234" s="2"/>
      <c r="L234" s="105"/>
      <c r="M234" s="2"/>
      <c r="N234" s="105"/>
      <c r="O234" s="2"/>
      <c r="P234" s="2"/>
      <c r="Q234" s="2"/>
      <c r="R234" s="2"/>
      <c r="S234" s="2"/>
      <c r="T234" s="2"/>
      <c r="U234" s="2"/>
      <c r="V234" s="105"/>
    </row>
    <row r="235" spans="1:22" x14ac:dyDescent="0.25">
      <c r="A235" s="106"/>
      <c r="F235" s="105"/>
      <c r="H235" s="105"/>
      <c r="J235" s="105"/>
      <c r="K235" s="2"/>
      <c r="L235" s="105"/>
      <c r="M235" s="2"/>
      <c r="N235" s="105"/>
      <c r="O235" s="2"/>
      <c r="P235" s="2"/>
      <c r="Q235" s="2"/>
      <c r="R235" s="2"/>
      <c r="S235" s="2"/>
      <c r="T235" s="2"/>
      <c r="U235" s="2"/>
      <c r="V235" s="105"/>
    </row>
    <row r="236" spans="1:22" x14ac:dyDescent="0.25">
      <c r="A236" s="106"/>
      <c r="F236" s="105"/>
      <c r="H236" s="105"/>
      <c r="J236" s="105"/>
      <c r="K236" s="2"/>
      <c r="L236" s="105"/>
      <c r="M236" s="2"/>
      <c r="N236" s="105"/>
      <c r="O236" s="2"/>
      <c r="P236" s="2"/>
      <c r="Q236" s="2"/>
      <c r="R236" s="2"/>
      <c r="S236" s="2"/>
      <c r="T236" s="2"/>
      <c r="U236" s="2"/>
      <c r="V236" s="105"/>
    </row>
    <row r="237" spans="1:22" x14ac:dyDescent="0.25">
      <c r="A237" s="106"/>
      <c r="F237" s="105"/>
      <c r="H237" s="105"/>
      <c r="J237" s="105"/>
      <c r="K237" s="2"/>
      <c r="L237" s="105"/>
      <c r="M237" s="2"/>
      <c r="N237" s="105"/>
      <c r="O237" s="2"/>
      <c r="P237" s="2"/>
      <c r="Q237" s="2"/>
      <c r="R237" s="2"/>
      <c r="S237" s="2"/>
      <c r="T237" s="2"/>
      <c r="U237" s="2"/>
      <c r="V237" s="105"/>
    </row>
    <row r="238" spans="1:22" x14ac:dyDescent="0.25">
      <c r="A238" s="106"/>
      <c r="F238" s="105"/>
      <c r="H238" s="105"/>
      <c r="J238" s="105"/>
      <c r="K238" s="2"/>
      <c r="L238" s="105"/>
      <c r="M238" s="2"/>
      <c r="N238" s="105"/>
      <c r="O238" s="2"/>
      <c r="P238" s="2"/>
      <c r="Q238" s="2"/>
      <c r="R238" s="2"/>
      <c r="S238" s="2"/>
      <c r="T238" s="2"/>
      <c r="U238" s="2"/>
      <c r="V238" s="105"/>
    </row>
    <row r="239" spans="1:22" x14ac:dyDescent="0.25">
      <c r="A239" s="106"/>
      <c r="F239" s="105"/>
      <c r="H239" s="105"/>
      <c r="J239" s="105"/>
      <c r="K239" s="2"/>
      <c r="L239" s="105"/>
      <c r="M239" s="2"/>
      <c r="N239" s="105"/>
      <c r="O239" s="2"/>
      <c r="P239" s="2"/>
      <c r="Q239" s="2"/>
      <c r="R239" s="2"/>
      <c r="S239" s="2"/>
      <c r="T239" s="2"/>
      <c r="U239" s="2"/>
      <c r="V239" s="105"/>
    </row>
    <row r="240" spans="1:22" x14ac:dyDescent="0.25">
      <c r="A240" s="106"/>
      <c r="F240" s="105"/>
      <c r="H240" s="105"/>
      <c r="J240" s="105"/>
      <c r="K240" s="2"/>
      <c r="L240" s="105"/>
      <c r="M240" s="2"/>
      <c r="N240" s="105"/>
      <c r="O240" s="2"/>
      <c r="P240" s="2"/>
      <c r="Q240" s="2"/>
      <c r="R240" s="2"/>
      <c r="S240" s="2"/>
      <c r="T240" s="2"/>
      <c r="U240" s="2"/>
      <c r="V240" s="105"/>
    </row>
    <row r="241" spans="1:22" x14ac:dyDescent="0.25">
      <c r="A241" s="106"/>
      <c r="F241" s="105"/>
      <c r="H241" s="105"/>
      <c r="J241" s="105"/>
      <c r="K241" s="2"/>
      <c r="L241" s="105"/>
      <c r="M241" s="2"/>
      <c r="N241" s="105"/>
      <c r="O241" s="2"/>
      <c r="P241" s="2"/>
      <c r="Q241" s="2"/>
      <c r="R241" s="2"/>
      <c r="S241" s="2"/>
      <c r="T241" s="2"/>
      <c r="U241" s="2"/>
      <c r="V241" s="105"/>
    </row>
    <row r="242" spans="1:22" x14ac:dyDescent="0.25">
      <c r="A242" s="106"/>
      <c r="F242" s="105"/>
      <c r="H242" s="105"/>
      <c r="J242" s="105"/>
      <c r="K242" s="2"/>
      <c r="L242" s="105"/>
      <c r="M242" s="2"/>
      <c r="N242" s="105"/>
      <c r="O242" s="2"/>
      <c r="P242" s="2"/>
      <c r="Q242" s="2"/>
      <c r="R242" s="2"/>
      <c r="S242" s="2"/>
      <c r="T242" s="2"/>
      <c r="U242" s="2"/>
      <c r="V242" s="105"/>
    </row>
    <row r="243" spans="1:22" x14ac:dyDescent="0.25">
      <c r="A243" s="106"/>
      <c r="F243" s="105"/>
      <c r="H243" s="105"/>
      <c r="J243" s="105"/>
      <c r="K243" s="2"/>
      <c r="L243" s="105"/>
      <c r="M243" s="2"/>
      <c r="N243" s="105"/>
      <c r="O243" s="2"/>
      <c r="P243" s="2"/>
      <c r="Q243" s="2"/>
      <c r="R243" s="2"/>
      <c r="S243" s="2"/>
      <c r="T243" s="2"/>
      <c r="U243" s="2"/>
      <c r="V243" s="105"/>
    </row>
    <row r="244" spans="1:22" x14ac:dyDescent="0.25">
      <c r="A244" s="106"/>
      <c r="F244" s="105"/>
      <c r="H244" s="105"/>
      <c r="J244" s="105"/>
      <c r="K244" s="2"/>
      <c r="L244" s="105"/>
      <c r="M244" s="2"/>
      <c r="N244" s="105"/>
      <c r="O244" s="2"/>
      <c r="P244" s="2"/>
      <c r="Q244" s="2"/>
      <c r="R244" s="2"/>
      <c r="S244" s="2"/>
      <c r="T244" s="2"/>
      <c r="U244" s="2"/>
      <c r="V244" s="105"/>
    </row>
    <row r="245" spans="1:22" x14ac:dyDescent="0.25">
      <c r="A245" s="106"/>
      <c r="F245" s="105"/>
      <c r="H245" s="105"/>
      <c r="J245" s="105"/>
      <c r="K245" s="2"/>
      <c r="L245" s="105"/>
      <c r="M245" s="2"/>
      <c r="N245" s="105"/>
      <c r="O245" s="2"/>
      <c r="P245" s="2"/>
      <c r="Q245" s="2"/>
      <c r="R245" s="2"/>
      <c r="S245" s="2"/>
      <c r="T245" s="2"/>
      <c r="U245" s="2"/>
      <c r="V245" s="105"/>
    </row>
    <row r="246" spans="1:22" x14ac:dyDescent="0.25">
      <c r="A246" s="106"/>
      <c r="F246" s="105"/>
      <c r="H246" s="105"/>
      <c r="J246" s="105"/>
      <c r="K246" s="2"/>
      <c r="L246" s="105"/>
      <c r="M246" s="2"/>
      <c r="N246" s="105"/>
      <c r="O246" s="2"/>
      <c r="P246" s="2"/>
      <c r="Q246" s="2"/>
      <c r="R246" s="2"/>
      <c r="S246" s="2"/>
      <c r="T246" s="2"/>
      <c r="U246" s="2"/>
      <c r="V246" s="105"/>
    </row>
    <row r="247" spans="1:22" x14ac:dyDescent="0.25">
      <c r="A247" s="106"/>
      <c r="F247" s="105"/>
      <c r="H247" s="105"/>
      <c r="J247" s="105"/>
      <c r="K247" s="2"/>
      <c r="L247" s="105"/>
      <c r="M247" s="2"/>
      <c r="N247" s="105"/>
      <c r="O247" s="2"/>
      <c r="P247" s="2"/>
      <c r="Q247" s="2"/>
      <c r="R247" s="2"/>
      <c r="S247" s="2"/>
      <c r="T247" s="2"/>
      <c r="U247" s="2"/>
      <c r="V247" s="105"/>
    </row>
    <row r="248" spans="1:22" x14ac:dyDescent="0.25">
      <c r="A248" s="106"/>
      <c r="F248" s="105"/>
      <c r="H248" s="105"/>
      <c r="J248" s="105"/>
      <c r="K248" s="2"/>
      <c r="L248" s="105"/>
      <c r="M248" s="2"/>
      <c r="N248" s="105"/>
      <c r="O248" s="2"/>
      <c r="P248" s="2"/>
      <c r="Q248" s="2"/>
      <c r="R248" s="2"/>
      <c r="S248" s="2"/>
      <c r="T248" s="2"/>
      <c r="U248" s="2"/>
      <c r="V248" s="105"/>
    </row>
    <row r="249" spans="1:22" x14ac:dyDescent="0.25">
      <c r="A249" s="106"/>
      <c r="F249" s="105"/>
      <c r="H249" s="105"/>
      <c r="J249" s="105"/>
      <c r="K249" s="2"/>
      <c r="L249" s="105"/>
      <c r="M249" s="2"/>
      <c r="N249" s="105"/>
      <c r="O249" s="2"/>
      <c r="P249" s="2"/>
      <c r="Q249" s="2"/>
      <c r="R249" s="2"/>
      <c r="S249" s="2"/>
      <c r="T249" s="2"/>
      <c r="U249" s="2"/>
      <c r="V249" s="105"/>
    </row>
    <row r="250" spans="1:22" x14ac:dyDescent="0.25">
      <c r="A250" s="106"/>
      <c r="F250" s="105"/>
      <c r="H250" s="105"/>
      <c r="J250" s="105"/>
      <c r="K250" s="2"/>
      <c r="L250" s="105"/>
      <c r="M250" s="2"/>
      <c r="N250" s="105"/>
      <c r="O250" s="2"/>
      <c r="P250" s="2"/>
      <c r="Q250" s="2"/>
      <c r="R250" s="2"/>
      <c r="S250" s="2"/>
      <c r="T250" s="2"/>
      <c r="U250" s="2"/>
      <c r="V250" s="105"/>
    </row>
    <row r="251" spans="1:22" x14ac:dyDescent="0.25">
      <c r="A251" s="106"/>
      <c r="F251" s="105"/>
      <c r="H251" s="105"/>
      <c r="J251" s="105"/>
      <c r="K251" s="2"/>
      <c r="L251" s="105"/>
      <c r="M251" s="2"/>
      <c r="N251" s="105"/>
      <c r="O251" s="2"/>
      <c r="P251" s="2"/>
      <c r="Q251" s="2"/>
      <c r="R251" s="2"/>
      <c r="S251" s="2"/>
      <c r="T251" s="2"/>
      <c r="U251" s="2"/>
      <c r="V251" s="105"/>
    </row>
    <row r="252" spans="1:22" x14ac:dyDescent="0.25">
      <c r="A252" s="106"/>
      <c r="F252" s="105"/>
      <c r="H252" s="105"/>
      <c r="J252" s="105"/>
      <c r="K252" s="2"/>
      <c r="L252" s="105"/>
      <c r="M252" s="2"/>
      <c r="N252" s="105"/>
      <c r="O252" s="2"/>
      <c r="P252" s="2"/>
      <c r="Q252" s="2"/>
      <c r="R252" s="2"/>
      <c r="S252" s="2"/>
      <c r="T252" s="2"/>
      <c r="U252" s="2"/>
      <c r="V252" s="105"/>
    </row>
    <row r="253" spans="1:22" x14ac:dyDescent="0.25">
      <c r="A253" s="106"/>
      <c r="F253" s="105"/>
      <c r="H253" s="105"/>
      <c r="J253" s="105"/>
      <c r="K253" s="2"/>
      <c r="L253" s="105"/>
      <c r="M253" s="2"/>
      <c r="N253" s="105"/>
      <c r="O253" s="2"/>
      <c r="P253" s="2"/>
      <c r="Q253" s="2"/>
      <c r="R253" s="2"/>
      <c r="S253" s="2"/>
      <c r="T253" s="2"/>
      <c r="U253" s="2"/>
      <c r="V253" s="105"/>
    </row>
    <row r="254" spans="1:22" x14ac:dyDescent="0.25">
      <c r="A254" s="106"/>
      <c r="F254" s="105"/>
      <c r="H254" s="105"/>
      <c r="J254" s="105"/>
      <c r="K254" s="2"/>
      <c r="L254" s="105"/>
      <c r="M254" s="2"/>
      <c r="N254" s="105"/>
      <c r="O254" s="2"/>
      <c r="P254" s="2"/>
      <c r="Q254" s="2"/>
      <c r="R254" s="2"/>
      <c r="S254" s="2"/>
      <c r="T254" s="2"/>
      <c r="U254" s="2"/>
      <c r="V254" s="105"/>
    </row>
    <row r="255" spans="1:22" x14ac:dyDescent="0.25">
      <c r="A255" s="106"/>
      <c r="F255" s="105"/>
      <c r="H255" s="105"/>
      <c r="J255" s="105"/>
      <c r="K255" s="2"/>
      <c r="L255" s="105"/>
      <c r="M255" s="2"/>
      <c r="N255" s="105"/>
      <c r="O255" s="2"/>
      <c r="P255" s="2"/>
      <c r="Q255" s="2"/>
      <c r="R255" s="2"/>
      <c r="S255" s="2"/>
      <c r="T255" s="2"/>
      <c r="U255" s="2"/>
      <c r="V255" s="105"/>
    </row>
    <row r="256" spans="1:22" x14ac:dyDescent="0.25">
      <c r="A256" s="106"/>
      <c r="F256" s="105"/>
      <c r="H256" s="105"/>
      <c r="J256" s="105"/>
      <c r="K256" s="2"/>
      <c r="L256" s="105"/>
      <c r="M256" s="2"/>
      <c r="N256" s="105"/>
      <c r="O256" s="2"/>
      <c r="P256" s="2"/>
      <c r="Q256" s="2"/>
      <c r="R256" s="2"/>
      <c r="S256" s="2"/>
      <c r="T256" s="2"/>
      <c r="U256" s="2"/>
      <c r="V256" s="105"/>
    </row>
    <row r="257" spans="1:22" x14ac:dyDescent="0.25">
      <c r="A257" s="106"/>
      <c r="F257" s="105"/>
      <c r="H257" s="105"/>
      <c r="J257" s="105"/>
      <c r="K257" s="2"/>
      <c r="L257" s="105"/>
      <c r="M257" s="2"/>
      <c r="N257" s="105"/>
      <c r="O257" s="2"/>
      <c r="P257" s="2"/>
      <c r="Q257" s="2"/>
      <c r="R257" s="2"/>
      <c r="S257" s="2"/>
      <c r="T257" s="2"/>
      <c r="U257" s="2"/>
      <c r="V257" s="105"/>
    </row>
    <row r="258" spans="1:22" x14ac:dyDescent="0.25">
      <c r="A258" s="106"/>
      <c r="F258" s="105"/>
      <c r="H258" s="105"/>
      <c r="J258" s="105"/>
      <c r="K258" s="2"/>
      <c r="L258" s="105"/>
      <c r="M258" s="2"/>
      <c r="N258" s="105"/>
      <c r="O258" s="2"/>
      <c r="P258" s="2"/>
      <c r="Q258" s="2"/>
      <c r="R258" s="2"/>
      <c r="S258" s="2"/>
      <c r="T258" s="2"/>
      <c r="U258" s="2"/>
      <c r="V258" s="105"/>
    </row>
    <row r="259" spans="1:22" x14ac:dyDescent="0.25">
      <c r="A259" s="106"/>
      <c r="F259" s="105"/>
      <c r="H259" s="105"/>
      <c r="J259" s="105"/>
      <c r="K259" s="2"/>
      <c r="L259" s="105"/>
      <c r="M259" s="2"/>
      <c r="N259" s="105"/>
      <c r="O259" s="2"/>
      <c r="P259" s="2"/>
      <c r="Q259" s="2"/>
      <c r="R259" s="2"/>
      <c r="S259" s="2"/>
      <c r="T259" s="2"/>
      <c r="U259" s="2"/>
      <c r="V259" s="105"/>
    </row>
    <row r="260" spans="1:22" x14ac:dyDescent="0.25">
      <c r="A260" s="106"/>
      <c r="F260" s="105"/>
      <c r="H260" s="105"/>
      <c r="J260" s="105"/>
      <c r="K260" s="2"/>
      <c r="L260" s="105"/>
      <c r="M260" s="2"/>
      <c r="N260" s="105"/>
      <c r="O260" s="2"/>
      <c r="P260" s="2"/>
      <c r="Q260" s="2"/>
      <c r="R260" s="2"/>
      <c r="S260" s="2"/>
      <c r="T260" s="2"/>
      <c r="U260" s="2"/>
      <c r="V260" s="105"/>
    </row>
    <row r="261" spans="1:22" x14ac:dyDescent="0.25">
      <c r="A261" s="106"/>
      <c r="F261" s="105"/>
      <c r="H261" s="105"/>
      <c r="J261" s="105"/>
      <c r="K261" s="2"/>
      <c r="L261" s="105"/>
      <c r="M261" s="2"/>
      <c r="N261" s="105"/>
      <c r="O261" s="2"/>
      <c r="P261" s="2"/>
      <c r="Q261" s="2"/>
      <c r="R261" s="2"/>
      <c r="S261" s="2"/>
      <c r="T261" s="2"/>
      <c r="U261" s="2"/>
      <c r="V261" s="105"/>
    </row>
    <row r="262" spans="1:22" x14ac:dyDescent="0.25">
      <c r="A262" s="106"/>
      <c r="F262" s="105"/>
      <c r="H262" s="105"/>
      <c r="J262" s="105"/>
      <c r="K262" s="2"/>
      <c r="L262" s="105"/>
      <c r="M262" s="2"/>
      <c r="N262" s="105"/>
      <c r="O262" s="2"/>
      <c r="P262" s="2"/>
      <c r="Q262" s="2"/>
      <c r="R262" s="2"/>
      <c r="S262" s="2"/>
      <c r="T262" s="2"/>
      <c r="U262" s="2"/>
      <c r="V262" s="105"/>
    </row>
    <row r="263" spans="1:22" x14ac:dyDescent="0.25">
      <c r="A263" s="106"/>
      <c r="F263" s="105"/>
      <c r="H263" s="105"/>
      <c r="J263" s="105"/>
      <c r="K263" s="2"/>
      <c r="L263" s="105"/>
      <c r="M263" s="2"/>
      <c r="N263" s="105"/>
      <c r="O263" s="2"/>
      <c r="P263" s="2"/>
      <c r="Q263" s="2"/>
      <c r="R263" s="2"/>
      <c r="S263" s="2"/>
      <c r="T263" s="2"/>
      <c r="U263" s="2"/>
      <c r="V263" s="105"/>
    </row>
    <row r="264" spans="1:22" x14ac:dyDescent="0.25">
      <c r="A264" s="106"/>
      <c r="F264" s="105"/>
      <c r="H264" s="105"/>
      <c r="J264" s="105"/>
      <c r="K264" s="2"/>
      <c r="L264" s="105"/>
      <c r="M264" s="2"/>
      <c r="N264" s="105"/>
      <c r="O264" s="2"/>
      <c r="P264" s="2"/>
      <c r="Q264" s="2"/>
      <c r="R264" s="2"/>
      <c r="S264" s="2"/>
      <c r="T264" s="2"/>
      <c r="U264" s="2"/>
      <c r="V264" s="105"/>
    </row>
    <row r="265" spans="1:22" x14ac:dyDescent="0.25">
      <c r="A265" s="106"/>
      <c r="F265" s="105"/>
      <c r="H265" s="105"/>
      <c r="J265" s="105"/>
      <c r="K265" s="2"/>
      <c r="L265" s="105"/>
      <c r="M265" s="2"/>
      <c r="N265" s="105"/>
      <c r="O265" s="2"/>
      <c r="P265" s="2"/>
      <c r="Q265" s="2"/>
      <c r="R265" s="2"/>
      <c r="S265" s="2"/>
      <c r="T265" s="2"/>
      <c r="U265" s="2"/>
      <c r="V265" s="105"/>
    </row>
    <row r="266" spans="1:22" x14ac:dyDescent="0.25">
      <c r="A266" s="106"/>
      <c r="F266" s="105"/>
      <c r="H266" s="105"/>
      <c r="J266" s="105"/>
      <c r="K266" s="2"/>
      <c r="L266" s="105"/>
      <c r="M266" s="2"/>
      <c r="N266" s="105"/>
      <c r="O266" s="2"/>
      <c r="P266" s="2"/>
      <c r="Q266" s="2"/>
      <c r="R266" s="2"/>
      <c r="S266" s="2"/>
      <c r="T266" s="2"/>
      <c r="U266" s="2"/>
      <c r="V266" s="105"/>
    </row>
    <row r="267" spans="1:22" x14ac:dyDescent="0.25">
      <c r="A267" s="106"/>
      <c r="F267" s="105"/>
      <c r="H267" s="105"/>
      <c r="J267" s="105"/>
      <c r="K267" s="2"/>
      <c r="L267" s="105"/>
      <c r="M267" s="2"/>
      <c r="N267" s="105"/>
      <c r="O267" s="2"/>
      <c r="P267" s="2"/>
      <c r="Q267" s="2"/>
      <c r="R267" s="2"/>
      <c r="S267" s="2"/>
      <c r="T267" s="2"/>
      <c r="U267" s="2"/>
      <c r="V267" s="105"/>
    </row>
    <row r="268" spans="1:22" x14ac:dyDescent="0.25">
      <c r="A268" s="106"/>
      <c r="F268" s="105"/>
      <c r="H268" s="105"/>
      <c r="J268" s="105"/>
      <c r="K268" s="2"/>
      <c r="L268" s="105"/>
      <c r="M268" s="2"/>
      <c r="N268" s="105"/>
      <c r="O268" s="2"/>
      <c r="P268" s="2"/>
      <c r="Q268" s="2"/>
      <c r="R268" s="2"/>
      <c r="S268" s="2"/>
      <c r="T268" s="2"/>
      <c r="U268" s="2"/>
      <c r="V268" s="105"/>
    </row>
    <row r="269" spans="1:22" x14ac:dyDescent="0.25">
      <c r="A269" s="106"/>
      <c r="F269" s="105"/>
      <c r="H269" s="105"/>
      <c r="J269" s="105"/>
      <c r="K269" s="2"/>
      <c r="L269" s="105"/>
      <c r="M269" s="2"/>
      <c r="N269" s="105"/>
      <c r="O269" s="2"/>
      <c r="P269" s="2"/>
      <c r="Q269" s="2"/>
      <c r="R269" s="2"/>
      <c r="S269" s="2"/>
      <c r="T269" s="2"/>
      <c r="U269" s="2"/>
      <c r="V269" s="105"/>
    </row>
    <row r="270" spans="1:22" x14ac:dyDescent="0.25">
      <c r="A270" s="106"/>
      <c r="F270" s="105"/>
      <c r="H270" s="105"/>
      <c r="J270" s="105"/>
      <c r="K270" s="2"/>
      <c r="L270" s="105"/>
      <c r="M270" s="2"/>
      <c r="N270" s="105"/>
      <c r="O270" s="2"/>
      <c r="P270" s="2"/>
      <c r="Q270" s="2"/>
      <c r="R270" s="2"/>
      <c r="S270" s="2"/>
      <c r="T270" s="2"/>
      <c r="U270" s="2"/>
      <c r="V270" s="105"/>
    </row>
    <row r="271" spans="1:22" x14ac:dyDescent="0.25">
      <c r="A271" s="106"/>
      <c r="F271" s="105"/>
      <c r="H271" s="105"/>
      <c r="J271" s="105"/>
      <c r="K271" s="2"/>
      <c r="L271" s="105"/>
      <c r="M271" s="2"/>
      <c r="N271" s="105"/>
      <c r="O271" s="2"/>
      <c r="P271" s="2"/>
      <c r="Q271" s="2"/>
      <c r="R271" s="2"/>
      <c r="S271" s="2"/>
      <c r="T271" s="2"/>
      <c r="U271" s="2"/>
      <c r="V271" s="105"/>
    </row>
    <row r="272" spans="1:22" x14ac:dyDescent="0.25">
      <c r="A272" s="106"/>
      <c r="F272" s="105"/>
      <c r="H272" s="105"/>
      <c r="J272" s="105"/>
      <c r="K272" s="2"/>
      <c r="L272" s="105"/>
      <c r="M272" s="2"/>
      <c r="N272" s="105"/>
      <c r="O272" s="2"/>
      <c r="P272" s="2"/>
      <c r="Q272" s="2"/>
      <c r="R272" s="2"/>
      <c r="S272" s="2"/>
      <c r="T272" s="2"/>
      <c r="U272" s="2"/>
      <c r="V272" s="105"/>
    </row>
    <row r="273" spans="1:22" x14ac:dyDescent="0.25">
      <c r="A273" s="106"/>
      <c r="F273" s="105"/>
      <c r="H273" s="105"/>
      <c r="J273" s="105"/>
      <c r="K273" s="2"/>
      <c r="L273" s="105"/>
      <c r="M273" s="2"/>
      <c r="N273" s="105"/>
      <c r="O273" s="2"/>
      <c r="P273" s="2"/>
      <c r="Q273" s="2"/>
      <c r="R273" s="2"/>
      <c r="S273" s="2"/>
      <c r="T273" s="2"/>
      <c r="U273" s="2"/>
      <c r="V273" s="105"/>
    </row>
    <row r="274" spans="1:22" x14ac:dyDescent="0.25">
      <c r="A274" s="106"/>
      <c r="F274" s="105"/>
      <c r="H274" s="105"/>
      <c r="J274" s="105"/>
      <c r="K274" s="2"/>
      <c r="L274" s="105"/>
      <c r="M274" s="2"/>
      <c r="N274" s="105"/>
      <c r="O274" s="2"/>
      <c r="P274" s="2"/>
      <c r="Q274" s="2"/>
      <c r="R274" s="2"/>
      <c r="S274" s="2"/>
      <c r="T274" s="2"/>
      <c r="U274" s="2"/>
      <c r="V274" s="105"/>
    </row>
    <row r="275" spans="1:22" x14ac:dyDescent="0.25">
      <c r="A275" s="106"/>
      <c r="F275" s="105"/>
      <c r="H275" s="105"/>
      <c r="J275" s="105"/>
      <c r="K275" s="2"/>
      <c r="L275" s="105"/>
      <c r="M275" s="2"/>
      <c r="N275" s="105"/>
      <c r="O275" s="2"/>
      <c r="P275" s="2"/>
      <c r="Q275" s="2"/>
      <c r="R275" s="2"/>
      <c r="S275" s="2"/>
      <c r="T275" s="2"/>
      <c r="U275" s="2"/>
      <c r="V275" s="105"/>
    </row>
    <row r="276" spans="1:22" x14ac:dyDescent="0.25">
      <c r="A276" s="106"/>
      <c r="F276" s="105"/>
      <c r="H276" s="105"/>
      <c r="J276" s="105"/>
      <c r="K276" s="2"/>
      <c r="L276" s="105"/>
      <c r="M276" s="2"/>
      <c r="N276" s="105"/>
      <c r="O276" s="2"/>
      <c r="P276" s="2"/>
      <c r="Q276" s="2"/>
      <c r="R276" s="2"/>
      <c r="S276" s="2"/>
      <c r="T276" s="2"/>
      <c r="U276" s="2"/>
      <c r="V276" s="105"/>
    </row>
    <row r="277" spans="1:22" x14ac:dyDescent="0.25">
      <c r="A277" s="106"/>
      <c r="F277" s="105"/>
      <c r="H277" s="105"/>
      <c r="J277" s="105"/>
      <c r="K277" s="2"/>
      <c r="L277" s="105"/>
      <c r="M277" s="2"/>
      <c r="N277" s="105"/>
      <c r="O277" s="2"/>
      <c r="P277" s="2"/>
      <c r="Q277" s="2"/>
      <c r="R277" s="2"/>
      <c r="S277" s="2"/>
      <c r="T277" s="2"/>
      <c r="U277" s="2"/>
      <c r="V277" s="105"/>
    </row>
    <row r="278" spans="1:22" x14ac:dyDescent="0.25">
      <c r="A278" s="106"/>
      <c r="F278" s="105"/>
      <c r="H278" s="105"/>
      <c r="J278" s="105"/>
      <c r="K278" s="2"/>
      <c r="L278" s="105"/>
      <c r="M278" s="2"/>
      <c r="N278" s="105"/>
      <c r="O278" s="2"/>
      <c r="P278" s="2"/>
      <c r="Q278" s="2"/>
      <c r="R278" s="2"/>
      <c r="S278" s="2"/>
      <c r="T278" s="2"/>
      <c r="U278" s="2"/>
      <c r="V278" s="105"/>
    </row>
    <row r="279" spans="1:22" x14ac:dyDescent="0.25">
      <c r="A279" s="106"/>
      <c r="F279" s="105"/>
      <c r="H279" s="105"/>
      <c r="J279" s="105"/>
      <c r="K279" s="2"/>
      <c r="L279" s="105"/>
      <c r="M279" s="2"/>
      <c r="N279" s="105"/>
      <c r="O279" s="2"/>
      <c r="P279" s="2"/>
      <c r="Q279" s="2"/>
      <c r="R279" s="2"/>
      <c r="S279" s="2"/>
      <c r="T279" s="2"/>
      <c r="U279" s="2"/>
      <c r="V279" s="105"/>
    </row>
    <row r="280" spans="1:22" x14ac:dyDescent="0.25">
      <c r="A280" s="106"/>
      <c r="F280" s="105"/>
      <c r="H280" s="105"/>
      <c r="J280" s="105"/>
      <c r="K280" s="2"/>
      <c r="L280" s="105"/>
      <c r="M280" s="2"/>
      <c r="N280" s="105"/>
      <c r="O280" s="2"/>
      <c r="P280" s="2"/>
      <c r="Q280" s="2"/>
      <c r="R280" s="2"/>
      <c r="S280" s="2"/>
      <c r="T280" s="2"/>
      <c r="U280" s="2"/>
      <c r="V280" s="105"/>
    </row>
    <row r="281" spans="1:22" x14ac:dyDescent="0.25">
      <c r="A281" s="106"/>
      <c r="F281" s="105"/>
      <c r="H281" s="105"/>
      <c r="J281" s="105"/>
      <c r="K281" s="2"/>
      <c r="L281" s="105"/>
      <c r="M281" s="2"/>
      <c r="N281" s="105"/>
      <c r="O281" s="2"/>
      <c r="P281" s="2"/>
      <c r="Q281" s="2"/>
      <c r="R281" s="2"/>
      <c r="S281" s="2"/>
      <c r="T281" s="2"/>
      <c r="U281" s="2"/>
      <c r="V281" s="105"/>
    </row>
    <row r="282" spans="1:22" x14ac:dyDescent="0.25">
      <c r="A282" s="106"/>
      <c r="F282" s="105"/>
      <c r="H282" s="105"/>
      <c r="J282" s="105"/>
      <c r="K282" s="2"/>
      <c r="L282" s="105"/>
      <c r="M282" s="2"/>
      <c r="N282" s="105"/>
      <c r="O282" s="2"/>
      <c r="P282" s="2"/>
      <c r="Q282" s="2"/>
      <c r="R282" s="2"/>
      <c r="S282" s="2"/>
      <c r="T282" s="2"/>
      <c r="U282" s="2"/>
      <c r="V282" s="105"/>
    </row>
    <row r="283" spans="1:22" x14ac:dyDescent="0.25">
      <c r="A283" s="106"/>
      <c r="F283" s="105"/>
      <c r="H283" s="105"/>
      <c r="J283" s="105"/>
      <c r="K283" s="2"/>
      <c r="L283" s="105"/>
      <c r="M283" s="2"/>
      <c r="N283" s="105"/>
      <c r="O283" s="2"/>
      <c r="P283" s="2"/>
      <c r="Q283" s="2"/>
      <c r="R283" s="2"/>
      <c r="S283" s="2"/>
      <c r="T283" s="2"/>
      <c r="U283" s="2"/>
      <c r="V283" s="105"/>
    </row>
    <row r="284" spans="1:22" x14ac:dyDescent="0.25">
      <c r="A284" s="106"/>
      <c r="F284" s="105"/>
      <c r="H284" s="105"/>
      <c r="J284" s="105"/>
      <c r="K284" s="2"/>
      <c r="L284" s="105"/>
      <c r="M284" s="2"/>
      <c r="N284" s="105"/>
      <c r="O284" s="2"/>
      <c r="P284" s="2"/>
      <c r="Q284" s="2"/>
      <c r="R284" s="2"/>
      <c r="S284" s="2"/>
      <c r="T284" s="2"/>
      <c r="U284" s="2"/>
      <c r="V284" s="105"/>
    </row>
    <row r="285" spans="1:22" x14ac:dyDescent="0.25">
      <c r="A285" s="106"/>
      <c r="F285" s="105"/>
      <c r="H285" s="105"/>
      <c r="J285" s="105"/>
      <c r="K285" s="2"/>
      <c r="L285" s="105"/>
      <c r="M285" s="2"/>
      <c r="N285" s="105"/>
      <c r="O285" s="2"/>
      <c r="P285" s="2"/>
      <c r="Q285" s="2"/>
      <c r="R285" s="2"/>
      <c r="S285" s="2"/>
      <c r="T285" s="2"/>
      <c r="U285" s="2"/>
      <c r="V285" s="105"/>
    </row>
    <row r="286" spans="1:22" x14ac:dyDescent="0.25">
      <c r="A286" s="106"/>
      <c r="F286" s="105"/>
      <c r="H286" s="105"/>
      <c r="J286" s="105"/>
      <c r="K286" s="2"/>
      <c r="L286" s="105"/>
      <c r="M286" s="2"/>
      <c r="N286" s="105"/>
      <c r="O286" s="2"/>
      <c r="P286" s="2"/>
      <c r="Q286" s="2"/>
      <c r="R286" s="2"/>
      <c r="S286" s="2"/>
      <c r="T286" s="2"/>
      <c r="U286" s="2"/>
      <c r="V286" s="105"/>
    </row>
    <row r="287" spans="1:22" x14ac:dyDescent="0.25">
      <c r="A287" s="106"/>
      <c r="F287" s="105"/>
      <c r="H287" s="105"/>
      <c r="J287" s="105"/>
      <c r="K287" s="2"/>
      <c r="L287" s="105"/>
      <c r="M287" s="2"/>
      <c r="N287" s="105"/>
      <c r="O287" s="2"/>
      <c r="P287" s="2"/>
      <c r="Q287" s="2"/>
      <c r="R287" s="2"/>
      <c r="S287" s="2"/>
      <c r="T287" s="2"/>
      <c r="U287" s="2"/>
      <c r="V287" s="105"/>
    </row>
    <row r="288" spans="1:22" x14ac:dyDescent="0.25">
      <c r="A288" s="106"/>
      <c r="F288" s="105"/>
      <c r="H288" s="105"/>
      <c r="J288" s="105"/>
      <c r="K288" s="2"/>
      <c r="L288" s="105"/>
      <c r="M288" s="2"/>
      <c r="N288" s="105"/>
      <c r="O288" s="2"/>
      <c r="P288" s="2"/>
      <c r="Q288" s="2"/>
      <c r="R288" s="2"/>
      <c r="S288" s="2"/>
      <c r="T288" s="2"/>
      <c r="U288" s="2"/>
      <c r="V288" s="105"/>
    </row>
    <row r="289" spans="1:22" x14ac:dyDescent="0.25">
      <c r="A289" s="106"/>
      <c r="F289" s="105"/>
      <c r="H289" s="105"/>
      <c r="J289" s="105"/>
      <c r="K289" s="2"/>
      <c r="L289" s="105"/>
      <c r="M289" s="2"/>
      <c r="N289" s="105"/>
      <c r="O289" s="2"/>
      <c r="P289" s="2"/>
      <c r="Q289" s="2"/>
      <c r="R289" s="2"/>
      <c r="S289" s="2"/>
      <c r="T289" s="2"/>
      <c r="U289" s="2"/>
      <c r="V289" s="105"/>
    </row>
    <row r="290" spans="1:22" x14ac:dyDescent="0.25">
      <c r="A290" s="106"/>
      <c r="F290" s="105"/>
      <c r="H290" s="105"/>
      <c r="J290" s="105"/>
      <c r="K290" s="2"/>
      <c r="L290" s="105"/>
      <c r="M290" s="2"/>
      <c r="N290" s="105"/>
      <c r="O290" s="2"/>
      <c r="P290" s="2"/>
      <c r="Q290" s="2"/>
      <c r="R290" s="2"/>
      <c r="S290" s="2"/>
      <c r="T290" s="2"/>
      <c r="U290" s="2"/>
      <c r="V290" s="105"/>
    </row>
    <row r="291" spans="1:22" x14ac:dyDescent="0.25">
      <c r="A291" s="106"/>
      <c r="F291" s="105"/>
      <c r="H291" s="105"/>
      <c r="J291" s="105"/>
      <c r="K291" s="2"/>
      <c r="L291" s="105"/>
      <c r="M291" s="2"/>
      <c r="N291" s="105"/>
      <c r="O291" s="2"/>
      <c r="P291" s="2"/>
      <c r="Q291" s="2"/>
      <c r="R291" s="2"/>
      <c r="S291" s="2"/>
      <c r="T291" s="2"/>
      <c r="U291" s="2"/>
      <c r="V291" s="105"/>
    </row>
    <row r="292" spans="1:22" x14ac:dyDescent="0.25">
      <c r="A292" s="106"/>
      <c r="F292" s="105"/>
      <c r="H292" s="105"/>
      <c r="J292" s="105"/>
      <c r="K292" s="2"/>
      <c r="L292" s="105"/>
      <c r="M292" s="2"/>
      <c r="N292" s="105"/>
      <c r="O292" s="2"/>
      <c r="P292" s="2"/>
      <c r="Q292" s="2"/>
      <c r="R292" s="2"/>
      <c r="S292" s="2"/>
      <c r="T292" s="2"/>
      <c r="U292" s="2"/>
      <c r="V292" s="105"/>
    </row>
    <row r="293" spans="1:22" x14ac:dyDescent="0.25">
      <c r="A293" s="106"/>
      <c r="F293" s="105"/>
      <c r="H293" s="105"/>
      <c r="J293" s="105"/>
      <c r="K293" s="2"/>
      <c r="L293" s="105"/>
      <c r="M293" s="2"/>
      <c r="N293" s="105"/>
      <c r="O293" s="2"/>
      <c r="P293" s="2"/>
      <c r="Q293" s="2"/>
      <c r="R293" s="2"/>
      <c r="S293" s="2"/>
      <c r="T293" s="2"/>
      <c r="U293" s="2"/>
      <c r="V293" s="105"/>
    </row>
    <row r="294" spans="1:22" x14ac:dyDescent="0.25">
      <c r="A294" s="106"/>
      <c r="F294" s="105"/>
      <c r="H294" s="105"/>
      <c r="J294" s="105"/>
      <c r="K294" s="2"/>
      <c r="L294" s="105"/>
      <c r="M294" s="2"/>
      <c r="N294" s="105"/>
      <c r="O294" s="2"/>
      <c r="P294" s="2"/>
      <c r="Q294" s="2"/>
      <c r="R294" s="2"/>
      <c r="S294" s="2"/>
      <c r="T294" s="2"/>
      <c r="U294" s="2"/>
      <c r="V294" s="105"/>
    </row>
    <row r="295" spans="1:22" x14ac:dyDescent="0.25">
      <c r="A295" s="106"/>
      <c r="F295" s="105"/>
      <c r="H295" s="105"/>
      <c r="J295" s="105"/>
      <c r="K295" s="2"/>
      <c r="L295" s="105"/>
      <c r="M295" s="2"/>
      <c r="N295" s="105"/>
      <c r="O295" s="2"/>
      <c r="P295" s="2"/>
      <c r="Q295" s="2"/>
      <c r="R295" s="2"/>
      <c r="S295" s="2"/>
      <c r="T295" s="2"/>
      <c r="U295" s="2"/>
      <c r="V295" s="105"/>
    </row>
    <row r="296" spans="1:22" x14ac:dyDescent="0.25">
      <c r="A296" s="106"/>
      <c r="F296" s="105"/>
      <c r="H296" s="105"/>
      <c r="J296" s="105"/>
      <c r="K296" s="2"/>
      <c r="L296" s="105"/>
      <c r="M296" s="2"/>
      <c r="N296" s="105"/>
      <c r="O296" s="2"/>
      <c r="P296" s="2"/>
      <c r="Q296" s="2"/>
      <c r="R296" s="2"/>
      <c r="S296" s="2"/>
      <c r="T296" s="2"/>
      <c r="U296" s="2"/>
      <c r="V296" s="105"/>
    </row>
    <row r="297" spans="1:22" x14ac:dyDescent="0.25">
      <c r="A297" s="106"/>
      <c r="F297" s="105"/>
      <c r="H297" s="105"/>
      <c r="J297" s="105"/>
      <c r="K297" s="2"/>
      <c r="L297" s="105"/>
      <c r="M297" s="2"/>
      <c r="N297" s="105"/>
      <c r="O297" s="2"/>
      <c r="P297" s="2"/>
      <c r="Q297" s="2"/>
      <c r="R297" s="2"/>
      <c r="S297" s="2"/>
      <c r="T297" s="2"/>
      <c r="U297" s="2"/>
      <c r="V297" s="105"/>
    </row>
    <row r="298" spans="1:22" x14ac:dyDescent="0.25">
      <c r="A298" s="106"/>
      <c r="F298" s="105"/>
      <c r="H298" s="105"/>
      <c r="J298" s="105"/>
      <c r="K298" s="2"/>
      <c r="L298" s="105"/>
      <c r="M298" s="2"/>
      <c r="N298" s="105"/>
      <c r="O298" s="2"/>
      <c r="P298" s="2"/>
      <c r="Q298" s="2"/>
      <c r="R298" s="2"/>
      <c r="S298" s="2"/>
      <c r="T298" s="2"/>
      <c r="U298" s="2"/>
      <c r="V298" s="105"/>
    </row>
    <row r="299" spans="1:22" x14ac:dyDescent="0.25">
      <c r="A299" s="106"/>
      <c r="F299" s="105"/>
      <c r="H299" s="105"/>
      <c r="J299" s="105"/>
      <c r="K299" s="2"/>
      <c r="L299" s="105"/>
      <c r="M299" s="2"/>
      <c r="N299" s="105"/>
      <c r="O299" s="2"/>
      <c r="P299" s="2"/>
      <c r="Q299" s="2"/>
      <c r="R299" s="2"/>
      <c r="S299" s="2"/>
      <c r="T299" s="2"/>
      <c r="U299" s="2"/>
      <c r="V299" s="105"/>
    </row>
    <row r="300" spans="1:22" x14ac:dyDescent="0.25">
      <c r="A300" s="106"/>
      <c r="F300" s="105"/>
      <c r="H300" s="105"/>
      <c r="J300" s="105"/>
      <c r="K300" s="2"/>
      <c r="L300" s="105"/>
      <c r="M300" s="2"/>
      <c r="N300" s="105"/>
      <c r="O300" s="2"/>
      <c r="P300" s="2"/>
      <c r="Q300" s="2"/>
      <c r="R300" s="2"/>
      <c r="S300" s="2"/>
      <c r="T300" s="2"/>
      <c r="U300" s="2"/>
      <c r="V300" s="105"/>
    </row>
    <row r="301" spans="1:22" x14ac:dyDescent="0.25">
      <c r="A301" s="106"/>
      <c r="F301" s="105"/>
      <c r="H301" s="105"/>
      <c r="J301" s="105"/>
      <c r="K301" s="2"/>
      <c r="L301" s="105"/>
      <c r="M301" s="2"/>
      <c r="N301" s="105"/>
      <c r="O301" s="2"/>
      <c r="P301" s="2"/>
      <c r="Q301" s="2"/>
      <c r="R301" s="2"/>
      <c r="S301" s="2"/>
      <c r="T301" s="2"/>
      <c r="U301" s="2"/>
      <c r="V301" s="105"/>
    </row>
    <row r="302" spans="1:22" x14ac:dyDescent="0.25">
      <c r="A302" s="106"/>
      <c r="F302" s="105"/>
      <c r="H302" s="105"/>
      <c r="J302" s="105"/>
      <c r="K302" s="2"/>
      <c r="L302" s="105"/>
      <c r="M302" s="2"/>
      <c r="N302" s="105"/>
      <c r="O302" s="2"/>
      <c r="P302" s="2"/>
      <c r="Q302" s="2"/>
      <c r="R302" s="2"/>
      <c r="S302" s="2"/>
      <c r="T302" s="2"/>
      <c r="U302" s="2"/>
      <c r="V302" s="105"/>
    </row>
    <row r="303" spans="1:22" x14ac:dyDescent="0.25">
      <c r="A303" s="106"/>
      <c r="F303" s="105"/>
      <c r="H303" s="105"/>
      <c r="J303" s="105"/>
      <c r="K303" s="2"/>
      <c r="L303" s="105"/>
      <c r="M303" s="2"/>
      <c r="N303" s="105"/>
      <c r="O303" s="2"/>
      <c r="P303" s="2"/>
      <c r="Q303" s="2"/>
      <c r="R303" s="2"/>
      <c r="S303" s="2"/>
      <c r="T303" s="2"/>
      <c r="U303" s="2"/>
      <c r="V303" s="105"/>
    </row>
    <row r="304" spans="1:22" x14ac:dyDescent="0.25">
      <c r="A304" s="106"/>
      <c r="F304" s="105"/>
      <c r="H304" s="105"/>
      <c r="J304" s="105"/>
      <c r="K304" s="2"/>
      <c r="L304" s="105"/>
      <c r="M304" s="2"/>
      <c r="N304" s="105"/>
      <c r="O304" s="2"/>
      <c r="P304" s="2"/>
      <c r="Q304" s="2"/>
      <c r="R304" s="2"/>
      <c r="S304" s="2"/>
      <c r="T304" s="2"/>
      <c r="U304" s="2"/>
      <c r="V304" s="105"/>
    </row>
    <row r="305" spans="1:22" x14ac:dyDescent="0.25">
      <c r="A305" s="106"/>
      <c r="F305" s="105"/>
      <c r="H305" s="105"/>
      <c r="J305" s="105"/>
      <c r="K305" s="2"/>
      <c r="L305" s="105"/>
      <c r="M305" s="2"/>
      <c r="N305" s="105"/>
      <c r="O305" s="2"/>
      <c r="P305" s="2"/>
      <c r="Q305" s="2"/>
      <c r="R305" s="2"/>
      <c r="S305" s="2"/>
      <c r="T305" s="2"/>
      <c r="U305" s="2"/>
      <c r="V305" s="105"/>
    </row>
    <row r="306" spans="1:22" x14ac:dyDescent="0.25">
      <c r="A306" s="106"/>
      <c r="F306" s="105"/>
      <c r="H306" s="105"/>
      <c r="J306" s="105"/>
      <c r="K306" s="2"/>
      <c r="L306" s="105"/>
      <c r="M306" s="2"/>
      <c r="N306" s="105"/>
      <c r="O306" s="2"/>
      <c r="P306" s="2"/>
      <c r="Q306" s="2"/>
      <c r="R306" s="2"/>
      <c r="S306" s="2"/>
      <c r="T306" s="2"/>
      <c r="U306" s="2"/>
      <c r="V306" s="105"/>
    </row>
    <row r="307" spans="1:22" x14ac:dyDescent="0.25">
      <c r="A307" s="106"/>
      <c r="F307" s="105"/>
      <c r="H307" s="105"/>
      <c r="J307" s="105"/>
      <c r="K307" s="2"/>
      <c r="L307" s="105"/>
      <c r="M307" s="2"/>
      <c r="N307" s="105"/>
      <c r="O307" s="2"/>
      <c r="P307" s="2"/>
      <c r="Q307" s="2"/>
      <c r="R307" s="2"/>
      <c r="S307" s="2"/>
      <c r="T307" s="2"/>
      <c r="U307" s="2"/>
      <c r="V307" s="105"/>
    </row>
    <row r="308" spans="1:22" x14ac:dyDescent="0.25">
      <c r="A308" s="106"/>
      <c r="F308" s="105"/>
      <c r="H308" s="105"/>
      <c r="J308" s="105"/>
      <c r="K308" s="2"/>
      <c r="L308" s="105"/>
      <c r="M308" s="2"/>
      <c r="N308" s="105"/>
      <c r="O308" s="2"/>
      <c r="P308" s="2"/>
      <c r="Q308" s="2"/>
      <c r="R308" s="2"/>
      <c r="S308" s="2"/>
      <c r="T308" s="2"/>
      <c r="U308" s="2"/>
      <c r="V308" s="105"/>
    </row>
    <row r="309" spans="1:22" x14ac:dyDescent="0.25">
      <c r="A309" s="106"/>
      <c r="F309" s="105"/>
      <c r="H309" s="105"/>
      <c r="J309" s="105"/>
      <c r="K309" s="2"/>
      <c r="L309" s="105"/>
      <c r="M309" s="2"/>
      <c r="N309" s="105"/>
      <c r="O309" s="2"/>
      <c r="P309" s="2"/>
      <c r="Q309" s="2"/>
      <c r="R309" s="2"/>
      <c r="S309" s="2"/>
      <c r="T309" s="2"/>
      <c r="U309" s="2"/>
      <c r="V309" s="105"/>
    </row>
    <row r="310" spans="1:22" x14ac:dyDescent="0.25">
      <c r="A310" s="106"/>
      <c r="F310" s="105"/>
      <c r="H310" s="105"/>
      <c r="J310" s="105"/>
      <c r="K310" s="2"/>
      <c r="L310" s="105"/>
      <c r="M310" s="2"/>
      <c r="N310" s="105"/>
      <c r="O310" s="2"/>
      <c r="P310" s="2"/>
      <c r="Q310" s="2"/>
      <c r="R310" s="2"/>
      <c r="S310" s="2"/>
      <c r="T310" s="2"/>
      <c r="U310" s="2"/>
      <c r="V310" s="105"/>
    </row>
    <row r="311" spans="1:22" x14ac:dyDescent="0.25">
      <c r="A311" s="106"/>
      <c r="F311" s="105"/>
      <c r="H311" s="105"/>
      <c r="J311" s="105"/>
      <c r="K311" s="2"/>
      <c r="L311" s="105"/>
      <c r="M311" s="2"/>
      <c r="N311" s="105"/>
      <c r="O311" s="2"/>
      <c r="P311" s="2"/>
      <c r="Q311" s="2"/>
      <c r="R311" s="2"/>
      <c r="S311" s="2"/>
      <c r="T311" s="2"/>
      <c r="U311" s="2"/>
      <c r="V311" s="105"/>
    </row>
    <row r="312" spans="1:22" x14ac:dyDescent="0.25">
      <c r="A312" s="106"/>
      <c r="F312" s="105"/>
      <c r="H312" s="105"/>
      <c r="J312" s="105"/>
      <c r="K312" s="2"/>
      <c r="L312" s="105"/>
      <c r="M312" s="2"/>
      <c r="N312" s="105"/>
      <c r="O312" s="2"/>
      <c r="P312" s="2"/>
      <c r="Q312" s="2"/>
      <c r="R312" s="2"/>
      <c r="S312" s="2"/>
      <c r="T312" s="2"/>
      <c r="U312" s="2"/>
      <c r="V312" s="105"/>
    </row>
    <row r="313" spans="1:22" x14ac:dyDescent="0.25">
      <c r="A313" s="106"/>
      <c r="F313" s="105"/>
      <c r="H313" s="105"/>
      <c r="J313" s="105"/>
      <c r="K313" s="2"/>
      <c r="L313" s="105"/>
      <c r="M313" s="2"/>
      <c r="N313" s="105"/>
      <c r="O313" s="2"/>
      <c r="P313" s="2"/>
      <c r="Q313" s="2"/>
      <c r="R313" s="2"/>
      <c r="S313" s="2"/>
      <c r="T313" s="2"/>
      <c r="U313" s="2"/>
      <c r="V313" s="105"/>
    </row>
    <row r="314" spans="1:22" x14ac:dyDescent="0.25">
      <c r="A314" s="106"/>
      <c r="F314" s="105"/>
      <c r="H314" s="105"/>
      <c r="J314" s="105"/>
      <c r="K314" s="2"/>
      <c r="L314" s="105"/>
      <c r="M314" s="2"/>
      <c r="N314" s="105"/>
      <c r="O314" s="2"/>
      <c r="P314" s="2"/>
      <c r="Q314" s="2"/>
      <c r="R314" s="2"/>
      <c r="S314" s="2"/>
      <c r="T314" s="2"/>
      <c r="U314" s="2"/>
      <c r="V314" s="105"/>
    </row>
    <row r="315" spans="1:22" x14ac:dyDescent="0.25">
      <c r="A315" s="106"/>
      <c r="F315" s="105"/>
      <c r="H315" s="105"/>
      <c r="J315" s="105"/>
      <c r="K315" s="2"/>
      <c r="L315" s="105"/>
      <c r="M315" s="2"/>
      <c r="N315" s="105"/>
      <c r="O315" s="2"/>
      <c r="P315" s="2"/>
      <c r="Q315" s="2"/>
      <c r="R315" s="2"/>
      <c r="S315" s="2"/>
      <c r="T315" s="2"/>
      <c r="U315" s="2"/>
      <c r="V315" s="105"/>
    </row>
    <row r="316" spans="1:22" x14ac:dyDescent="0.25">
      <c r="A316" s="106"/>
      <c r="F316" s="105"/>
      <c r="H316" s="105"/>
      <c r="J316" s="105"/>
      <c r="K316" s="2"/>
      <c r="L316" s="105"/>
      <c r="M316" s="2"/>
      <c r="N316" s="105"/>
      <c r="O316" s="2"/>
      <c r="P316" s="2"/>
      <c r="Q316" s="2"/>
      <c r="R316" s="2"/>
      <c r="S316" s="2"/>
      <c r="T316" s="2"/>
      <c r="U316" s="2"/>
      <c r="V316" s="105"/>
    </row>
    <row r="317" spans="1:22" x14ac:dyDescent="0.25">
      <c r="A317" s="106"/>
      <c r="F317" s="105"/>
      <c r="H317" s="105"/>
      <c r="J317" s="105"/>
      <c r="K317" s="2"/>
      <c r="L317" s="105"/>
      <c r="M317" s="2"/>
      <c r="N317" s="105"/>
      <c r="O317" s="2"/>
      <c r="P317" s="2"/>
      <c r="Q317" s="2"/>
      <c r="R317" s="2"/>
      <c r="S317" s="2"/>
      <c r="T317" s="2"/>
      <c r="U317" s="2"/>
      <c r="V317" s="105"/>
    </row>
    <row r="318" spans="1:22" x14ac:dyDescent="0.25">
      <c r="A318" s="106"/>
      <c r="F318" s="105"/>
      <c r="H318" s="105"/>
      <c r="J318" s="105"/>
      <c r="K318" s="2"/>
      <c r="L318" s="105"/>
      <c r="M318" s="2"/>
      <c r="N318" s="105"/>
      <c r="O318" s="2"/>
      <c r="P318" s="2"/>
      <c r="Q318" s="2"/>
      <c r="R318" s="2"/>
      <c r="S318" s="2"/>
      <c r="T318" s="2"/>
      <c r="U318" s="2"/>
      <c r="V318" s="105"/>
    </row>
    <row r="319" spans="1:22" x14ac:dyDescent="0.25">
      <c r="A319" s="106"/>
      <c r="F319" s="105"/>
      <c r="H319" s="105"/>
      <c r="J319" s="105"/>
      <c r="K319" s="2"/>
      <c r="L319" s="105"/>
      <c r="M319" s="2"/>
      <c r="N319" s="105"/>
      <c r="O319" s="2"/>
      <c r="P319" s="2"/>
      <c r="Q319" s="2"/>
      <c r="R319" s="2"/>
      <c r="S319" s="2"/>
      <c r="T319" s="2"/>
      <c r="U319" s="2"/>
      <c r="V319" s="105"/>
    </row>
    <row r="320" spans="1:22" x14ac:dyDescent="0.25">
      <c r="A320" s="106"/>
      <c r="F320" s="105"/>
      <c r="H320" s="105"/>
      <c r="J320" s="105"/>
      <c r="K320" s="2"/>
      <c r="L320" s="105"/>
      <c r="M320" s="2"/>
      <c r="N320" s="105"/>
      <c r="O320" s="2"/>
      <c r="P320" s="2"/>
      <c r="Q320" s="2"/>
      <c r="R320" s="2"/>
      <c r="S320" s="2"/>
      <c r="T320" s="2"/>
      <c r="U320" s="2"/>
      <c r="V320" s="105"/>
    </row>
    <row r="321" spans="1:22" x14ac:dyDescent="0.25">
      <c r="A321" s="106"/>
      <c r="F321" s="105"/>
      <c r="H321" s="105"/>
      <c r="J321" s="105"/>
      <c r="K321" s="2"/>
      <c r="L321" s="105"/>
      <c r="M321" s="2"/>
      <c r="N321" s="105"/>
      <c r="O321" s="2"/>
      <c r="P321" s="2"/>
      <c r="Q321" s="2"/>
      <c r="R321" s="2"/>
      <c r="S321" s="2"/>
      <c r="T321" s="2"/>
      <c r="U321" s="2"/>
      <c r="V321" s="105"/>
    </row>
    <row r="322" spans="1:22" x14ac:dyDescent="0.25">
      <c r="A322" s="106"/>
      <c r="F322" s="105"/>
      <c r="H322" s="105"/>
      <c r="J322" s="105"/>
      <c r="K322" s="2"/>
      <c r="L322" s="105"/>
      <c r="M322" s="2"/>
      <c r="N322" s="105"/>
      <c r="O322" s="2"/>
      <c r="P322" s="2"/>
      <c r="Q322" s="2"/>
      <c r="R322" s="2"/>
      <c r="S322" s="2"/>
      <c r="T322" s="2"/>
      <c r="U322" s="2"/>
      <c r="V322" s="105"/>
    </row>
    <row r="323" spans="1:22" x14ac:dyDescent="0.25">
      <c r="A323" s="106"/>
      <c r="F323" s="105"/>
      <c r="H323" s="105"/>
      <c r="J323" s="105"/>
      <c r="K323" s="2"/>
      <c r="L323" s="105"/>
      <c r="M323" s="2"/>
      <c r="N323" s="105"/>
      <c r="O323" s="2"/>
      <c r="P323" s="2"/>
      <c r="Q323" s="2"/>
      <c r="R323" s="2"/>
      <c r="S323" s="2"/>
      <c r="T323" s="2"/>
      <c r="U323" s="2"/>
      <c r="V323" s="105"/>
    </row>
    <row r="324" spans="1:22" x14ac:dyDescent="0.25">
      <c r="A324" s="106"/>
      <c r="F324" s="105"/>
      <c r="H324" s="105"/>
      <c r="J324" s="105"/>
      <c r="K324" s="2"/>
      <c r="L324" s="105"/>
      <c r="M324" s="2"/>
      <c r="N324" s="105"/>
      <c r="O324" s="2"/>
      <c r="P324" s="2"/>
      <c r="Q324" s="2"/>
      <c r="R324" s="2"/>
      <c r="S324" s="2"/>
      <c r="T324" s="2"/>
      <c r="U324" s="2"/>
      <c r="V324" s="105"/>
    </row>
    <row r="325" spans="1:22" x14ac:dyDescent="0.25">
      <c r="A325" s="106"/>
      <c r="F325" s="105"/>
      <c r="H325" s="105"/>
      <c r="J325" s="105"/>
      <c r="K325" s="2"/>
      <c r="L325" s="105"/>
      <c r="M325" s="2"/>
      <c r="N325" s="105"/>
      <c r="O325" s="2"/>
      <c r="P325" s="2"/>
      <c r="Q325" s="2"/>
      <c r="R325" s="2"/>
      <c r="S325" s="2"/>
      <c r="T325" s="2"/>
      <c r="U325" s="2"/>
      <c r="V325" s="105"/>
    </row>
    <row r="326" spans="1:22" x14ac:dyDescent="0.25">
      <c r="A326" s="106"/>
      <c r="F326" s="105"/>
      <c r="H326" s="105"/>
      <c r="J326" s="105"/>
      <c r="K326" s="2"/>
      <c r="L326" s="105"/>
      <c r="M326" s="2"/>
      <c r="N326" s="105"/>
      <c r="O326" s="2"/>
      <c r="P326" s="2"/>
      <c r="Q326" s="2"/>
      <c r="R326" s="2"/>
      <c r="S326" s="2"/>
      <c r="T326" s="2"/>
      <c r="U326" s="2"/>
      <c r="V326" s="105"/>
    </row>
    <row r="327" spans="1:22" x14ac:dyDescent="0.25">
      <c r="A327" s="106"/>
      <c r="F327" s="105"/>
      <c r="H327" s="105"/>
      <c r="J327" s="105"/>
      <c r="K327" s="2"/>
      <c r="L327" s="105"/>
      <c r="M327" s="2"/>
      <c r="N327" s="105"/>
      <c r="O327" s="2"/>
      <c r="P327" s="2"/>
      <c r="Q327" s="2"/>
      <c r="R327" s="2"/>
      <c r="S327" s="2"/>
      <c r="T327" s="2"/>
      <c r="U327" s="2"/>
      <c r="V327" s="105"/>
    </row>
    <row r="328" spans="1:22" x14ac:dyDescent="0.25">
      <c r="A328" s="106"/>
      <c r="F328" s="105"/>
      <c r="H328" s="105"/>
      <c r="J328" s="105"/>
      <c r="K328" s="2"/>
      <c r="L328" s="105"/>
      <c r="M328" s="2"/>
      <c r="N328" s="105"/>
      <c r="O328" s="2"/>
      <c r="P328" s="2"/>
      <c r="Q328" s="2"/>
      <c r="R328" s="2"/>
      <c r="S328" s="2"/>
      <c r="T328" s="2"/>
      <c r="U328" s="2"/>
      <c r="V328" s="105"/>
    </row>
    <row r="329" spans="1:22" x14ac:dyDescent="0.25">
      <c r="A329" s="106"/>
      <c r="F329" s="105"/>
      <c r="H329" s="105"/>
      <c r="J329" s="105"/>
      <c r="K329" s="2"/>
      <c r="L329" s="105"/>
      <c r="M329" s="2"/>
      <c r="N329" s="105"/>
      <c r="O329" s="2"/>
      <c r="P329" s="2"/>
      <c r="Q329" s="2"/>
      <c r="R329" s="2"/>
      <c r="S329" s="2"/>
      <c r="T329" s="2"/>
      <c r="U329" s="2"/>
      <c r="V329" s="105"/>
    </row>
    <row r="330" spans="1:22" x14ac:dyDescent="0.25">
      <c r="A330" s="106"/>
      <c r="F330" s="105"/>
      <c r="H330" s="105"/>
      <c r="J330" s="105"/>
      <c r="K330" s="2"/>
      <c r="L330" s="105"/>
      <c r="M330" s="2"/>
      <c r="N330" s="105"/>
      <c r="O330" s="2"/>
      <c r="P330" s="2"/>
      <c r="Q330" s="2"/>
      <c r="R330" s="2"/>
      <c r="S330" s="2"/>
      <c r="T330" s="2"/>
      <c r="U330" s="2"/>
      <c r="V330" s="105"/>
    </row>
    <row r="331" spans="1:22" x14ac:dyDescent="0.25">
      <c r="A331" s="106"/>
      <c r="F331" s="105"/>
      <c r="H331" s="105"/>
      <c r="J331" s="105"/>
      <c r="K331" s="2"/>
      <c r="L331" s="105"/>
      <c r="M331" s="2"/>
      <c r="N331" s="105"/>
      <c r="O331" s="2"/>
      <c r="P331" s="2"/>
      <c r="Q331" s="2"/>
      <c r="R331" s="2"/>
      <c r="S331" s="2"/>
      <c r="T331" s="2"/>
      <c r="U331" s="2"/>
      <c r="V331" s="105"/>
    </row>
    <row r="332" spans="1:22" x14ac:dyDescent="0.25">
      <c r="A332" s="106"/>
      <c r="F332" s="105"/>
      <c r="H332" s="105"/>
      <c r="J332" s="105"/>
      <c r="K332" s="2"/>
      <c r="L332" s="105"/>
      <c r="M332" s="2"/>
      <c r="N332" s="105"/>
      <c r="O332" s="2"/>
      <c r="P332" s="2"/>
      <c r="Q332" s="2"/>
      <c r="R332" s="2"/>
      <c r="S332" s="2"/>
      <c r="T332" s="2"/>
      <c r="U332" s="2"/>
      <c r="V332" s="105"/>
    </row>
    <row r="333" spans="1:22" x14ac:dyDescent="0.25">
      <c r="A333" s="106"/>
      <c r="F333" s="105"/>
      <c r="H333" s="105"/>
      <c r="J333" s="105"/>
      <c r="K333" s="2"/>
      <c r="L333" s="105"/>
      <c r="M333" s="2"/>
      <c r="N333" s="105"/>
      <c r="O333" s="2"/>
      <c r="P333" s="2"/>
      <c r="Q333" s="2"/>
      <c r="R333" s="2"/>
      <c r="S333" s="2"/>
      <c r="T333" s="2"/>
      <c r="U333" s="2"/>
      <c r="V333" s="105"/>
    </row>
    <row r="334" spans="1:22" x14ac:dyDescent="0.25">
      <c r="A334" s="106"/>
      <c r="F334" s="105"/>
      <c r="H334" s="105"/>
      <c r="J334" s="105"/>
      <c r="K334" s="2"/>
      <c r="L334" s="105"/>
      <c r="M334" s="2"/>
      <c r="N334" s="105"/>
      <c r="O334" s="2"/>
      <c r="P334" s="2"/>
      <c r="Q334" s="2"/>
      <c r="R334" s="2"/>
      <c r="S334" s="2"/>
      <c r="T334" s="2"/>
      <c r="U334" s="2"/>
      <c r="V334" s="105"/>
    </row>
    <row r="335" spans="1:22" x14ac:dyDescent="0.25">
      <c r="A335" s="106"/>
      <c r="F335" s="105"/>
      <c r="H335" s="105"/>
      <c r="J335" s="105"/>
      <c r="K335" s="2"/>
      <c r="L335" s="105"/>
      <c r="M335" s="2"/>
      <c r="N335" s="105"/>
      <c r="O335" s="2"/>
      <c r="P335" s="2"/>
      <c r="Q335" s="2"/>
      <c r="R335" s="2"/>
      <c r="S335" s="2"/>
      <c r="T335" s="2"/>
      <c r="U335" s="2"/>
      <c r="V335" s="105"/>
    </row>
    <row r="336" spans="1:22" x14ac:dyDescent="0.25">
      <c r="A336" s="106"/>
      <c r="F336" s="105"/>
      <c r="H336" s="105"/>
      <c r="J336" s="105"/>
      <c r="K336" s="2"/>
      <c r="L336" s="105"/>
      <c r="M336" s="2"/>
      <c r="N336" s="105"/>
      <c r="O336" s="2"/>
      <c r="P336" s="2"/>
      <c r="Q336" s="2"/>
      <c r="R336" s="2"/>
      <c r="S336" s="2"/>
      <c r="T336" s="2"/>
      <c r="U336" s="2"/>
      <c r="V336" s="105"/>
    </row>
    <row r="337" spans="1:22" x14ac:dyDescent="0.25">
      <c r="A337" s="106"/>
      <c r="F337" s="105"/>
      <c r="H337" s="105"/>
      <c r="J337" s="105"/>
      <c r="K337" s="2"/>
      <c r="L337" s="105"/>
      <c r="M337" s="2"/>
      <c r="N337" s="105"/>
      <c r="O337" s="2"/>
      <c r="P337" s="2"/>
      <c r="Q337" s="2"/>
      <c r="R337" s="2"/>
      <c r="S337" s="2"/>
      <c r="T337" s="2"/>
      <c r="U337" s="2"/>
      <c r="V337" s="105"/>
    </row>
    <row r="338" spans="1:22" x14ac:dyDescent="0.25">
      <c r="A338" s="106"/>
      <c r="F338" s="105"/>
      <c r="H338" s="105"/>
      <c r="J338" s="105"/>
      <c r="K338" s="2"/>
      <c r="L338" s="105"/>
      <c r="M338" s="2"/>
      <c r="N338" s="105"/>
      <c r="O338" s="2"/>
      <c r="P338" s="2"/>
      <c r="Q338" s="2"/>
      <c r="R338" s="2"/>
      <c r="S338" s="2"/>
      <c r="T338" s="2"/>
      <c r="U338" s="2"/>
      <c r="V338" s="105"/>
    </row>
    <row r="339" spans="1:22" x14ac:dyDescent="0.25">
      <c r="A339" s="106"/>
      <c r="F339" s="105"/>
      <c r="H339" s="105"/>
      <c r="J339" s="105"/>
      <c r="K339" s="2"/>
      <c r="L339" s="105"/>
      <c r="M339" s="2"/>
      <c r="N339" s="105"/>
      <c r="O339" s="2"/>
      <c r="P339" s="2"/>
      <c r="Q339" s="2"/>
      <c r="R339" s="2"/>
      <c r="S339" s="2"/>
      <c r="T339" s="2"/>
      <c r="U339" s="2"/>
      <c r="V339" s="105"/>
    </row>
    <row r="340" spans="1:22" x14ac:dyDescent="0.25">
      <c r="A340" s="106"/>
      <c r="F340" s="105"/>
      <c r="H340" s="105"/>
      <c r="J340" s="105"/>
      <c r="K340" s="2"/>
      <c r="L340" s="105"/>
      <c r="M340" s="2"/>
      <c r="N340" s="105"/>
      <c r="O340" s="2"/>
      <c r="P340" s="2"/>
      <c r="Q340" s="2"/>
      <c r="R340" s="2"/>
      <c r="S340" s="2"/>
      <c r="T340" s="2"/>
      <c r="U340" s="2"/>
      <c r="V340" s="105"/>
    </row>
    <row r="341" spans="1:22" x14ac:dyDescent="0.25">
      <c r="A341" s="106"/>
      <c r="F341" s="105"/>
      <c r="H341" s="105"/>
      <c r="J341" s="105"/>
      <c r="K341" s="2"/>
      <c r="L341" s="105"/>
      <c r="M341" s="2"/>
      <c r="N341" s="105"/>
      <c r="O341" s="2"/>
      <c r="P341" s="2"/>
      <c r="Q341" s="2"/>
      <c r="R341" s="2"/>
      <c r="S341" s="2"/>
      <c r="T341" s="2"/>
      <c r="U341" s="2"/>
      <c r="V341" s="105"/>
    </row>
    <row r="342" spans="1:22" x14ac:dyDescent="0.25">
      <c r="A342" s="106"/>
      <c r="F342" s="105"/>
      <c r="H342" s="105"/>
      <c r="J342" s="105"/>
      <c r="K342" s="2"/>
      <c r="L342" s="105"/>
      <c r="M342" s="2"/>
      <c r="N342" s="105"/>
      <c r="O342" s="2"/>
      <c r="P342" s="2"/>
      <c r="Q342" s="2"/>
      <c r="R342" s="2"/>
      <c r="S342" s="2"/>
      <c r="T342" s="2"/>
      <c r="U342" s="2"/>
      <c r="V342" s="105"/>
    </row>
    <row r="343" spans="1:22" x14ac:dyDescent="0.25">
      <c r="A343" s="106"/>
      <c r="F343" s="105"/>
      <c r="H343" s="105"/>
      <c r="J343" s="105"/>
      <c r="K343" s="2"/>
      <c r="L343" s="105"/>
      <c r="M343" s="2"/>
      <c r="N343" s="105"/>
      <c r="O343" s="2"/>
      <c r="P343" s="2"/>
      <c r="Q343" s="2"/>
      <c r="R343" s="2"/>
      <c r="S343" s="2"/>
      <c r="T343" s="2"/>
      <c r="U343" s="2"/>
      <c r="V343" s="105"/>
    </row>
    <row r="344" spans="1:22" x14ac:dyDescent="0.25">
      <c r="A344" s="106"/>
      <c r="F344" s="105"/>
      <c r="H344" s="105"/>
      <c r="J344" s="105"/>
      <c r="K344" s="2"/>
      <c r="L344" s="105"/>
      <c r="M344" s="2"/>
      <c r="N344" s="105"/>
      <c r="O344" s="2"/>
      <c r="P344" s="2"/>
      <c r="Q344" s="2"/>
      <c r="R344" s="2"/>
      <c r="S344" s="2"/>
      <c r="T344" s="2"/>
      <c r="U344" s="2"/>
      <c r="V344" s="105"/>
    </row>
    <row r="345" spans="1:22" x14ac:dyDescent="0.25">
      <c r="A345" s="106"/>
      <c r="F345" s="105"/>
      <c r="H345" s="105"/>
      <c r="J345" s="105"/>
      <c r="K345" s="2"/>
      <c r="L345" s="105"/>
      <c r="M345" s="2"/>
      <c r="N345" s="105"/>
      <c r="O345" s="2"/>
      <c r="P345" s="2"/>
      <c r="Q345" s="2"/>
      <c r="R345" s="2"/>
      <c r="S345" s="2"/>
      <c r="T345" s="2"/>
      <c r="U345" s="2"/>
      <c r="V345" s="105"/>
    </row>
    <row r="346" spans="1:22" x14ac:dyDescent="0.25">
      <c r="A346" s="106"/>
      <c r="F346" s="105"/>
      <c r="H346" s="105"/>
      <c r="J346" s="105"/>
      <c r="K346" s="2"/>
      <c r="L346" s="105"/>
      <c r="M346" s="2"/>
      <c r="N346" s="105"/>
      <c r="O346" s="2"/>
      <c r="P346" s="2"/>
      <c r="Q346" s="2"/>
      <c r="R346" s="2"/>
      <c r="S346" s="2"/>
      <c r="T346" s="2"/>
      <c r="U346" s="2"/>
      <c r="V346" s="105"/>
    </row>
    <row r="347" spans="1:22" x14ac:dyDescent="0.25">
      <c r="A347" s="106"/>
      <c r="F347" s="105"/>
      <c r="H347" s="105"/>
      <c r="J347" s="105"/>
      <c r="K347" s="2"/>
      <c r="L347" s="105"/>
      <c r="M347" s="2"/>
      <c r="N347" s="105"/>
      <c r="O347" s="2"/>
      <c r="P347" s="2"/>
      <c r="Q347" s="2"/>
      <c r="R347" s="2"/>
      <c r="S347" s="2"/>
      <c r="T347" s="2"/>
      <c r="U347" s="2"/>
      <c r="V347" s="105"/>
    </row>
    <row r="348" spans="1:22" x14ac:dyDescent="0.25">
      <c r="A348" s="106"/>
      <c r="F348" s="105"/>
      <c r="H348" s="105"/>
      <c r="J348" s="105"/>
      <c r="K348" s="2"/>
      <c r="L348" s="105"/>
      <c r="M348" s="2"/>
      <c r="N348" s="105"/>
      <c r="O348" s="2"/>
      <c r="P348" s="2"/>
      <c r="Q348" s="2"/>
      <c r="R348" s="2"/>
      <c r="S348" s="2"/>
      <c r="T348" s="2"/>
      <c r="U348" s="2"/>
      <c r="V348" s="105"/>
    </row>
    <row r="349" spans="1:22" x14ac:dyDescent="0.25">
      <c r="A349" s="106"/>
      <c r="F349" s="105"/>
      <c r="H349" s="105"/>
      <c r="J349" s="105"/>
      <c r="K349" s="2"/>
      <c r="L349" s="105"/>
      <c r="M349" s="2"/>
      <c r="N349" s="105"/>
      <c r="O349" s="2"/>
      <c r="P349" s="2"/>
      <c r="Q349" s="2"/>
      <c r="R349" s="2"/>
      <c r="S349" s="2"/>
      <c r="T349" s="2"/>
      <c r="U349" s="2"/>
      <c r="V349" s="105"/>
    </row>
    <row r="350" spans="1:22" x14ac:dyDescent="0.25">
      <c r="A350" s="106"/>
      <c r="F350" s="105"/>
      <c r="H350" s="105"/>
      <c r="J350" s="105"/>
      <c r="K350" s="2"/>
      <c r="L350" s="105"/>
      <c r="M350" s="2"/>
      <c r="N350" s="105"/>
      <c r="O350" s="2"/>
      <c r="P350" s="2"/>
      <c r="Q350" s="2"/>
      <c r="R350" s="2"/>
      <c r="S350" s="2"/>
      <c r="T350" s="2"/>
      <c r="U350" s="2"/>
      <c r="V350" s="105"/>
    </row>
    <row r="351" spans="1:22" x14ac:dyDescent="0.25">
      <c r="A351" s="106"/>
      <c r="F351" s="105"/>
      <c r="H351" s="105"/>
      <c r="J351" s="105"/>
      <c r="K351" s="2"/>
      <c r="L351" s="105"/>
      <c r="M351" s="2"/>
      <c r="N351" s="105"/>
      <c r="O351" s="2"/>
      <c r="P351" s="2"/>
      <c r="Q351" s="2"/>
      <c r="R351" s="2"/>
      <c r="S351" s="2"/>
      <c r="T351" s="2"/>
      <c r="U351" s="2"/>
      <c r="V351" s="105"/>
    </row>
    <row r="352" spans="1:22" x14ac:dyDescent="0.25">
      <c r="A352" s="106"/>
      <c r="F352" s="105"/>
      <c r="H352" s="105"/>
      <c r="J352" s="105"/>
      <c r="K352" s="2"/>
      <c r="L352" s="105"/>
      <c r="M352" s="2"/>
      <c r="N352" s="105"/>
      <c r="O352" s="2"/>
      <c r="P352" s="2"/>
      <c r="Q352" s="2"/>
      <c r="R352" s="2"/>
      <c r="S352" s="2"/>
      <c r="T352" s="2"/>
      <c r="U352" s="2"/>
      <c r="V352" s="105"/>
    </row>
    <row r="353" spans="1:22" x14ac:dyDescent="0.25">
      <c r="A353" s="106"/>
      <c r="F353" s="105"/>
      <c r="H353" s="105"/>
      <c r="J353" s="105"/>
      <c r="K353" s="2"/>
      <c r="L353" s="105"/>
      <c r="M353" s="2"/>
      <c r="N353" s="105"/>
      <c r="O353" s="2"/>
      <c r="P353" s="2"/>
      <c r="Q353" s="2"/>
      <c r="R353" s="2"/>
      <c r="S353" s="2"/>
      <c r="T353" s="2"/>
      <c r="U353" s="2"/>
      <c r="V353" s="105"/>
    </row>
    <row r="354" spans="1:22" x14ac:dyDescent="0.25">
      <c r="A354" s="106"/>
      <c r="F354" s="105"/>
      <c r="H354" s="105"/>
      <c r="J354" s="105"/>
      <c r="K354" s="2"/>
      <c r="L354" s="105"/>
      <c r="M354" s="2"/>
      <c r="N354" s="105"/>
      <c r="O354" s="2"/>
      <c r="P354" s="2"/>
      <c r="Q354" s="2"/>
      <c r="R354" s="2"/>
      <c r="S354" s="2"/>
      <c r="T354" s="2"/>
      <c r="U354" s="2"/>
      <c r="V354" s="105"/>
    </row>
    <row r="355" spans="1:22" x14ac:dyDescent="0.25">
      <c r="A355" s="106"/>
      <c r="F355" s="105"/>
      <c r="H355" s="105"/>
      <c r="J355" s="105"/>
      <c r="K355" s="2"/>
      <c r="L355" s="105"/>
      <c r="M355" s="2"/>
      <c r="N355" s="105"/>
      <c r="O355" s="2"/>
      <c r="P355" s="2"/>
      <c r="Q355" s="2"/>
      <c r="R355" s="2"/>
      <c r="S355" s="2"/>
      <c r="T355" s="2"/>
      <c r="U355" s="2"/>
      <c r="V355" s="105"/>
    </row>
    <row r="356" spans="1:22" x14ac:dyDescent="0.25">
      <c r="A356" s="106"/>
      <c r="F356" s="105"/>
      <c r="H356" s="105"/>
      <c r="J356" s="105"/>
      <c r="K356" s="2"/>
      <c r="L356" s="105"/>
      <c r="M356" s="2"/>
      <c r="N356" s="105"/>
      <c r="O356" s="2"/>
      <c r="P356" s="2"/>
      <c r="Q356" s="2"/>
      <c r="R356" s="2"/>
      <c r="S356" s="2"/>
      <c r="T356" s="2"/>
      <c r="U356" s="2"/>
      <c r="V356" s="105"/>
    </row>
    <row r="357" spans="1:22" x14ac:dyDescent="0.25">
      <c r="A357" s="106"/>
      <c r="F357" s="105"/>
      <c r="H357" s="105"/>
      <c r="J357" s="105"/>
      <c r="K357" s="2"/>
      <c r="L357" s="105"/>
      <c r="M357" s="2"/>
      <c r="N357" s="105"/>
      <c r="O357" s="2"/>
      <c r="P357" s="2"/>
      <c r="Q357" s="2"/>
      <c r="R357" s="2"/>
      <c r="S357" s="2"/>
      <c r="T357" s="2"/>
      <c r="U357" s="2"/>
      <c r="V357" s="105"/>
    </row>
    <row r="358" spans="1:22" x14ac:dyDescent="0.25">
      <c r="A358" s="106"/>
      <c r="F358" s="105"/>
      <c r="H358" s="105"/>
      <c r="J358" s="105"/>
      <c r="K358" s="2"/>
      <c r="L358" s="105"/>
      <c r="M358" s="2"/>
      <c r="N358" s="105"/>
      <c r="O358" s="2"/>
      <c r="P358" s="2"/>
      <c r="Q358" s="2"/>
      <c r="R358" s="2"/>
      <c r="S358" s="2"/>
      <c r="T358" s="2"/>
      <c r="U358" s="2"/>
      <c r="V358" s="105"/>
    </row>
    <row r="359" spans="1:22" x14ac:dyDescent="0.25">
      <c r="A359" s="106"/>
      <c r="F359" s="105"/>
      <c r="H359" s="105"/>
      <c r="J359" s="105"/>
      <c r="K359" s="2"/>
      <c r="L359" s="105"/>
      <c r="M359" s="2"/>
      <c r="N359" s="105"/>
      <c r="O359" s="2"/>
      <c r="P359" s="2"/>
      <c r="Q359" s="2"/>
      <c r="R359" s="2"/>
      <c r="S359" s="2"/>
      <c r="T359" s="2"/>
      <c r="U359" s="2"/>
      <c r="V359" s="105"/>
    </row>
    <row r="360" spans="1:22" x14ac:dyDescent="0.25">
      <c r="A360" s="106"/>
      <c r="F360" s="105"/>
      <c r="H360" s="105"/>
      <c r="J360" s="105"/>
      <c r="K360" s="2"/>
      <c r="L360" s="105"/>
      <c r="M360" s="2"/>
      <c r="N360" s="105"/>
      <c r="O360" s="2"/>
      <c r="P360" s="2"/>
      <c r="Q360" s="2"/>
      <c r="R360" s="2"/>
      <c r="S360" s="2"/>
      <c r="T360" s="2"/>
      <c r="U360" s="2"/>
      <c r="V360" s="105"/>
    </row>
    <row r="361" spans="1:22" x14ac:dyDescent="0.25">
      <c r="A361" s="106"/>
      <c r="F361" s="105"/>
      <c r="H361" s="105"/>
      <c r="J361" s="105"/>
      <c r="K361" s="2"/>
      <c r="L361" s="105"/>
      <c r="M361" s="2"/>
      <c r="N361" s="105"/>
      <c r="O361" s="2"/>
      <c r="P361" s="2"/>
      <c r="Q361" s="2"/>
      <c r="R361" s="2"/>
      <c r="S361" s="2"/>
      <c r="T361" s="2"/>
      <c r="U361" s="2"/>
      <c r="V361" s="105"/>
    </row>
    <row r="362" spans="1:22" x14ac:dyDescent="0.25">
      <c r="A362" s="106"/>
      <c r="F362" s="105"/>
      <c r="H362" s="105"/>
      <c r="J362" s="105"/>
      <c r="K362" s="2"/>
      <c r="L362" s="105"/>
      <c r="M362" s="2"/>
      <c r="N362" s="105"/>
      <c r="O362" s="2"/>
      <c r="P362" s="2"/>
      <c r="Q362" s="2"/>
      <c r="R362" s="2"/>
      <c r="S362" s="2"/>
      <c r="T362" s="2"/>
      <c r="U362" s="2"/>
      <c r="V362" s="105"/>
    </row>
    <row r="363" spans="1:22" x14ac:dyDescent="0.25">
      <c r="A363" s="106"/>
      <c r="F363" s="105"/>
      <c r="H363" s="105"/>
      <c r="J363" s="105"/>
      <c r="K363" s="2"/>
      <c r="L363" s="105"/>
      <c r="M363" s="2"/>
      <c r="N363" s="105"/>
      <c r="O363" s="2"/>
      <c r="P363" s="2"/>
      <c r="Q363" s="2"/>
      <c r="R363" s="2"/>
      <c r="S363" s="2"/>
      <c r="T363" s="2"/>
      <c r="U363" s="2"/>
      <c r="V363" s="105"/>
    </row>
    <row r="364" spans="1:22" x14ac:dyDescent="0.25">
      <c r="A364" s="106"/>
      <c r="F364" s="105"/>
      <c r="H364" s="105"/>
      <c r="J364" s="105"/>
      <c r="K364" s="2"/>
      <c r="L364" s="105"/>
      <c r="M364" s="2"/>
      <c r="N364" s="105"/>
      <c r="O364" s="2"/>
      <c r="P364" s="2"/>
      <c r="Q364" s="2"/>
      <c r="R364" s="2"/>
      <c r="S364" s="2"/>
      <c r="T364" s="2"/>
      <c r="U364" s="2"/>
      <c r="V364" s="105"/>
    </row>
    <row r="365" spans="1:22" x14ac:dyDescent="0.25">
      <c r="A365" s="106"/>
      <c r="F365" s="105"/>
      <c r="H365" s="105"/>
      <c r="J365" s="105"/>
      <c r="K365" s="2"/>
      <c r="L365" s="105"/>
      <c r="M365" s="2"/>
      <c r="N365" s="105"/>
      <c r="O365" s="2"/>
      <c r="P365" s="2"/>
      <c r="Q365" s="2"/>
      <c r="R365" s="2"/>
      <c r="S365" s="2"/>
      <c r="T365" s="2"/>
      <c r="U365" s="2"/>
      <c r="V365" s="105"/>
    </row>
    <row r="366" spans="1:22" x14ac:dyDescent="0.25">
      <c r="A366" s="106"/>
      <c r="F366" s="105"/>
      <c r="H366" s="105"/>
      <c r="J366" s="105"/>
      <c r="K366" s="2"/>
      <c r="L366" s="105"/>
      <c r="M366" s="2"/>
      <c r="N366" s="105"/>
      <c r="O366" s="2"/>
      <c r="P366" s="2"/>
      <c r="Q366" s="2"/>
      <c r="R366" s="2"/>
      <c r="S366" s="2"/>
      <c r="T366" s="2"/>
      <c r="U366" s="2"/>
      <c r="V366" s="105"/>
    </row>
    <row r="367" spans="1:22" x14ac:dyDescent="0.25">
      <c r="A367" s="106"/>
      <c r="F367" s="105"/>
      <c r="H367" s="105"/>
      <c r="J367" s="105"/>
      <c r="K367" s="2"/>
      <c r="L367" s="105"/>
      <c r="M367" s="2"/>
      <c r="N367" s="105"/>
      <c r="O367" s="2"/>
      <c r="P367" s="2"/>
      <c r="Q367" s="2"/>
      <c r="R367" s="2"/>
      <c r="S367" s="2"/>
      <c r="T367" s="2"/>
      <c r="U367" s="2"/>
      <c r="V367" s="105"/>
    </row>
    <row r="368" spans="1:22" x14ac:dyDescent="0.25">
      <c r="A368" s="106"/>
      <c r="F368" s="105"/>
      <c r="H368" s="105"/>
      <c r="J368" s="105"/>
      <c r="K368" s="2"/>
      <c r="L368" s="105"/>
      <c r="M368" s="2"/>
      <c r="N368" s="105"/>
      <c r="O368" s="2"/>
      <c r="P368" s="2"/>
      <c r="Q368" s="2"/>
      <c r="R368" s="2"/>
      <c r="S368" s="2"/>
      <c r="T368" s="2"/>
      <c r="U368" s="2"/>
      <c r="V368" s="105"/>
    </row>
    <row r="369" spans="1:22" x14ac:dyDescent="0.25">
      <c r="A369" s="106"/>
      <c r="F369" s="105"/>
      <c r="H369" s="105"/>
      <c r="J369" s="105"/>
      <c r="K369" s="2"/>
      <c r="L369" s="105"/>
      <c r="M369" s="2"/>
      <c r="N369" s="105"/>
      <c r="O369" s="2"/>
      <c r="P369" s="2"/>
      <c r="Q369" s="2"/>
      <c r="R369" s="2"/>
      <c r="S369" s="2"/>
      <c r="T369" s="2"/>
      <c r="U369" s="2"/>
      <c r="V369" s="105"/>
    </row>
    <row r="370" spans="1:22" x14ac:dyDescent="0.25">
      <c r="A370" s="106"/>
      <c r="F370" s="105"/>
      <c r="H370" s="105"/>
      <c r="J370" s="105"/>
      <c r="K370" s="2"/>
      <c r="L370" s="105"/>
      <c r="M370" s="2"/>
      <c r="N370" s="105"/>
      <c r="O370" s="2"/>
      <c r="P370" s="2"/>
      <c r="Q370" s="2"/>
      <c r="R370" s="2"/>
      <c r="S370" s="2"/>
      <c r="T370" s="2"/>
      <c r="U370" s="2"/>
      <c r="V370" s="105"/>
    </row>
    <row r="371" spans="1:22" x14ac:dyDescent="0.25">
      <c r="A371" s="106"/>
      <c r="F371" s="105"/>
      <c r="H371" s="105"/>
      <c r="J371" s="105"/>
      <c r="K371" s="2"/>
      <c r="L371" s="105"/>
      <c r="M371" s="2"/>
      <c r="N371" s="105"/>
      <c r="O371" s="2"/>
      <c r="P371" s="2"/>
      <c r="Q371" s="2"/>
      <c r="R371" s="2"/>
      <c r="S371" s="2"/>
      <c r="T371" s="2"/>
      <c r="U371" s="2"/>
      <c r="V371" s="105"/>
    </row>
    <row r="372" spans="1:22" x14ac:dyDescent="0.25">
      <c r="A372" s="106"/>
      <c r="F372" s="105"/>
      <c r="H372" s="105"/>
      <c r="J372" s="105"/>
      <c r="K372" s="2"/>
      <c r="L372" s="105"/>
      <c r="M372" s="2"/>
      <c r="N372" s="105"/>
      <c r="O372" s="2"/>
      <c r="P372" s="2"/>
      <c r="Q372" s="2"/>
      <c r="R372" s="2"/>
      <c r="S372" s="2"/>
      <c r="T372" s="2"/>
      <c r="U372" s="2"/>
      <c r="V372" s="105"/>
    </row>
    <row r="373" spans="1:22" x14ac:dyDescent="0.25">
      <c r="A373" s="106"/>
      <c r="F373" s="105"/>
      <c r="H373" s="105"/>
      <c r="J373" s="105"/>
      <c r="K373" s="2"/>
      <c r="L373" s="105"/>
      <c r="M373" s="2"/>
      <c r="N373" s="105"/>
      <c r="O373" s="2"/>
      <c r="P373" s="2"/>
      <c r="Q373" s="2"/>
      <c r="R373" s="2"/>
      <c r="S373" s="2"/>
      <c r="T373" s="2"/>
      <c r="U373" s="2"/>
      <c r="V373" s="105"/>
    </row>
    <row r="374" spans="1:22" x14ac:dyDescent="0.25">
      <c r="A374" s="106"/>
      <c r="F374" s="105"/>
      <c r="H374" s="105"/>
      <c r="J374" s="105"/>
      <c r="K374" s="2"/>
      <c r="L374" s="105"/>
      <c r="M374" s="2"/>
      <c r="N374" s="105"/>
      <c r="O374" s="2"/>
      <c r="P374" s="2"/>
      <c r="Q374" s="2"/>
      <c r="R374" s="2"/>
      <c r="S374" s="2"/>
      <c r="T374" s="2"/>
      <c r="U374" s="2"/>
      <c r="V374" s="105"/>
    </row>
    <row r="375" spans="1:22" x14ac:dyDescent="0.25">
      <c r="A375" s="106"/>
      <c r="F375" s="105"/>
      <c r="H375" s="105"/>
      <c r="J375" s="105"/>
      <c r="K375" s="2"/>
      <c r="L375" s="105"/>
      <c r="M375" s="2"/>
      <c r="N375" s="105"/>
      <c r="O375" s="2"/>
      <c r="P375" s="2"/>
      <c r="Q375" s="2"/>
      <c r="R375" s="2"/>
      <c r="S375" s="2"/>
      <c r="T375" s="2"/>
      <c r="U375" s="2"/>
      <c r="V375" s="105"/>
    </row>
    <row r="376" spans="1:22" x14ac:dyDescent="0.25">
      <c r="A376" s="106"/>
      <c r="F376" s="105"/>
      <c r="H376" s="105"/>
      <c r="J376" s="105"/>
      <c r="K376" s="2"/>
      <c r="L376" s="105"/>
      <c r="M376" s="2"/>
      <c r="N376" s="105"/>
      <c r="O376" s="2"/>
      <c r="P376" s="2"/>
      <c r="Q376" s="2"/>
      <c r="R376" s="2"/>
      <c r="S376" s="2"/>
      <c r="T376" s="2"/>
      <c r="U376" s="2"/>
      <c r="V376" s="105"/>
    </row>
    <row r="377" spans="1:22" x14ac:dyDescent="0.25">
      <c r="A377" s="106"/>
      <c r="F377" s="105"/>
      <c r="H377" s="105"/>
      <c r="J377" s="105"/>
      <c r="K377" s="2"/>
      <c r="L377" s="105"/>
      <c r="M377" s="2"/>
      <c r="N377" s="105"/>
      <c r="O377" s="2"/>
      <c r="P377" s="2"/>
      <c r="Q377" s="2"/>
      <c r="R377" s="2"/>
      <c r="S377" s="2"/>
      <c r="T377" s="2"/>
      <c r="U377" s="2"/>
      <c r="V377" s="105"/>
    </row>
    <row r="378" spans="1:22" x14ac:dyDescent="0.25">
      <c r="A378" s="106"/>
      <c r="F378" s="105"/>
      <c r="H378" s="105"/>
      <c r="J378" s="105"/>
      <c r="K378" s="2"/>
      <c r="L378" s="105"/>
      <c r="M378" s="2"/>
      <c r="N378" s="105"/>
      <c r="O378" s="2"/>
      <c r="P378" s="2"/>
      <c r="Q378" s="2"/>
      <c r="R378" s="2"/>
      <c r="S378" s="2"/>
      <c r="T378" s="2"/>
      <c r="U378" s="2"/>
      <c r="V378" s="105"/>
    </row>
    <row r="379" spans="1:22" x14ac:dyDescent="0.25">
      <c r="A379" s="106"/>
      <c r="F379" s="105"/>
      <c r="H379" s="105"/>
      <c r="J379" s="105"/>
      <c r="K379" s="2"/>
      <c r="L379" s="105"/>
      <c r="M379" s="2"/>
      <c r="N379" s="105"/>
      <c r="O379" s="2"/>
      <c r="P379" s="2"/>
      <c r="Q379" s="2"/>
      <c r="R379" s="2"/>
      <c r="S379" s="2"/>
      <c r="T379" s="2"/>
      <c r="U379" s="2"/>
      <c r="V379" s="105"/>
    </row>
    <row r="380" spans="1:22" x14ac:dyDescent="0.25">
      <c r="A380" s="106"/>
      <c r="F380" s="105"/>
      <c r="H380" s="105"/>
      <c r="J380" s="105"/>
      <c r="K380" s="2"/>
      <c r="L380" s="105"/>
      <c r="M380" s="2"/>
      <c r="N380" s="105"/>
      <c r="O380" s="2"/>
      <c r="P380" s="2"/>
      <c r="Q380" s="2"/>
      <c r="R380" s="2"/>
      <c r="S380" s="2"/>
      <c r="T380" s="2"/>
      <c r="U380" s="2"/>
      <c r="V380" s="105"/>
    </row>
    <row r="381" spans="1:22" x14ac:dyDescent="0.25">
      <c r="A381" s="106"/>
      <c r="F381" s="105"/>
      <c r="H381" s="105"/>
      <c r="J381" s="105"/>
      <c r="K381" s="2"/>
      <c r="L381" s="105"/>
      <c r="M381" s="2"/>
      <c r="N381" s="105"/>
      <c r="O381" s="2"/>
      <c r="P381" s="2"/>
      <c r="Q381" s="2"/>
      <c r="R381" s="2"/>
      <c r="S381" s="2"/>
      <c r="T381" s="2"/>
      <c r="U381" s="2"/>
      <c r="V381" s="105"/>
    </row>
    <row r="382" spans="1:22" x14ac:dyDescent="0.25">
      <c r="A382" s="106"/>
      <c r="F382" s="105"/>
      <c r="H382" s="105"/>
      <c r="J382" s="105"/>
      <c r="K382" s="2"/>
      <c r="L382" s="105"/>
      <c r="M382" s="2"/>
      <c r="N382" s="105"/>
      <c r="O382" s="2"/>
      <c r="P382" s="2"/>
      <c r="Q382" s="2"/>
      <c r="R382" s="2"/>
      <c r="S382" s="2"/>
      <c r="T382" s="2"/>
      <c r="U382" s="2"/>
      <c r="V382" s="105"/>
    </row>
    <row r="383" spans="1:22" x14ac:dyDescent="0.25">
      <c r="A383" s="106"/>
      <c r="F383" s="105"/>
      <c r="H383" s="105"/>
      <c r="J383" s="105"/>
      <c r="K383" s="2"/>
      <c r="L383" s="105"/>
      <c r="M383" s="2"/>
      <c r="N383" s="105"/>
      <c r="O383" s="2"/>
      <c r="P383" s="2"/>
      <c r="Q383" s="2"/>
      <c r="R383" s="2"/>
      <c r="S383" s="2"/>
      <c r="T383" s="2"/>
      <c r="U383" s="2"/>
      <c r="V383" s="105"/>
    </row>
    <row r="384" spans="1:22" x14ac:dyDescent="0.25">
      <c r="A384" s="106"/>
      <c r="F384" s="105"/>
      <c r="H384" s="105"/>
      <c r="J384" s="105"/>
      <c r="K384" s="2"/>
      <c r="L384" s="105"/>
      <c r="M384" s="2"/>
      <c r="N384" s="105"/>
      <c r="O384" s="2"/>
      <c r="P384" s="2"/>
      <c r="Q384" s="2"/>
      <c r="R384" s="2"/>
      <c r="S384" s="2"/>
      <c r="T384" s="2"/>
      <c r="U384" s="2"/>
      <c r="V384" s="105"/>
    </row>
    <row r="385" spans="1:22" x14ac:dyDescent="0.25">
      <c r="A385" s="106"/>
      <c r="F385" s="105"/>
      <c r="H385" s="105"/>
      <c r="J385" s="105"/>
      <c r="K385" s="2"/>
      <c r="L385" s="105"/>
      <c r="M385" s="2"/>
      <c r="N385" s="105"/>
      <c r="O385" s="2"/>
      <c r="P385" s="2"/>
      <c r="Q385" s="2"/>
      <c r="R385" s="2"/>
      <c r="S385" s="2"/>
      <c r="T385" s="2"/>
      <c r="U385" s="2"/>
      <c r="V385" s="105"/>
    </row>
    <row r="386" spans="1:22" x14ac:dyDescent="0.25">
      <c r="A386" s="106"/>
      <c r="F386" s="105"/>
      <c r="H386" s="105"/>
      <c r="J386" s="105"/>
      <c r="K386" s="2"/>
      <c r="L386" s="105"/>
      <c r="M386" s="2"/>
      <c r="N386" s="105"/>
      <c r="O386" s="2"/>
      <c r="P386" s="2"/>
      <c r="Q386" s="2"/>
      <c r="R386" s="2"/>
      <c r="S386" s="2"/>
      <c r="T386" s="2"/>
      <c r="U386" s="2"/>
      <c r="V386" s="105"/>
    </row>
    <row r="387" spans="1:22" x14ac:dyDescent="0.25">
      <c r="A387" s="106"/>
      <c r="F387" s="105"/>
      <c r="H387" s="105"/>
      <c r="J387" s="105"/>
      <c r="K387" s="2"/>
      <c r="L387" s="105"/>
      <c r="M387" s="2"/>
      <c r="N387" s="105"/>
      <c r="O387" s="2"/>
      <c r="P387" s="2"/>
      <c r="Q387" s="2"/>
      <c r="R387" s="2"/>
      <c r="S387" s="2"/>
      <c r="T387" s="2"/>
      <c r="U387" s="2"/>
      <c r="V387" s="105"/>
    </row>
    <row r="388" spans="1:22" x14ac:dyDescent="0.25">
      <c r="A388" s="106"/>
      <c r="F388" s="105"/>
      <c r="H388" s="105"/>
      <c r="J388" s="105"/>
      <c r="K388" s="2"/>
      <c r="L388" s="105"/>
      <c r="M388" s="2"/>
      <c r="N388" s="105"/>
      <c r="O388" s="2"/>
      <c r="P388" s="2"/>
      <c r="Q388" s="2"/>
      <c r="R388" s="2"/>
      <c r="S388" s="2"/>
      <c r="T388" s="2"/>
      <c r="U388" s="2"/>
      <c r="V388" s="105"/>
    </row>
    <row r="389" spans="1:22" x14ac:dyDescent="0.25">
      <c r="A389" s="106"/>
      <c r="F389" s="105"/>
      <c r="H389" s="105"/>
      <c r="J389" s="105"/>
      <c r="K389" s="2"/>
      <c r="L389" s="105"/>
      <c r="M389" s="2"/>
      <c r="N389" s="105"/>
      <c r="O389" s="2"/>
      <c r="P389" s="2"/>
      <c r="Q389" s="2"/>
      <c r="R389" s="2"/>
      <c r="S389" s="2"/>
      <c r="T389" s="2"/>
      <c r="U389" s="2"/>
      <c r="V389" s="105"/>
    </row>
    <row r="390" spans="1:22" x14ac:dyDescent="0.25">
      <c r="A390" s="106"/>
      <c r="F390" s="105"/>
      <c r="H390" s="105"/>
      <c r="J390" s="105"/>
      <c r="K390" s="2"/>
      <c r="L390" s="105"/>
      <c r="M390" s="2"/>
      <c r="N390" s="105"/>
      <c r="O390" s="2"/>
      <c r="P390" s="2"/>
      <c r="Q390" s="2"/>
      <c r="R390" s="2"/>
      <c r="S390" s="2"/>
      <c r="T390" s="2"/>
      <c r="U390" s="2"/>
      <c r="V390" s="105"/>
    </row>
    <row r="391" spans="1:22" x14ac:dyDescent="0.25">
      <c r="A391" s="106"/>
      <c r="F391" s="105"/>
      <c r="H391" s="105"/>
      <c r="J391" s="105"/>
      <c r="K391" s="2"/>
      <c r="L391" s="105"/>
      <c r="M391" s="2"/>
      <c r="N391" s="105"/>
      <c r="O391" s="2"/>
      <c r="P391" s="2"/>
      <c r="Q391" s="2"/>
      <c r="R391" s="2"/>
      <c r="S391" s="2"/>
      <c r="T391" s="2"/>
      <c r="U391" s="2"/>
      <c r="V391" s="105"/>
    </row>
    <row r="392" spans="1:22" x14ac:dyDescent="0.25">
      <c r="A392" s="106"/>
      <c r="F392" s="105"/>
      <c r="H392" s="105"/>
      <c r="J392" s="105"/>
      <c r="K392" s="2"/>
      <c r="L392" s="105"/>
      <c r="M392" s="2"/>
      <c r="N392" s="105"/>
      <c r="O392" s="2"/>
      <c r="P392" s="2"/>
      <c r="Q392" s="2"/>
      <c r="R392" s="2"/>
      <c r="S392" s="2"/>
      <c r="T392" s="2"/>
      <c r="U392" s="2"/>
      <c r="V392" s="105"/>
    </row>
    <row r="393" spans="1:22" x14ac:dyDescent="0.25">
      <c r="A393" s="106"/>
      <c r="F393" s="105"/>
      <c r="H393" s="105"/>
      <c r="J393" s="105"/>
      <c r="K393" s="2"/>
      <c r="L393" s="105"/>
      <c r="M393" s="2"/>
      <c r="N393" s="105"/>
      <c r="O393" s="2"/>
      <c r="P393" s="2"/>
      <c r="Q393" s="2"/>
      <c r="R393" s="2"/>
      <c r="S393" s="2"/>
      <c r="T393" s="2"/>
      <c r="U393" s="2"/>
      <c r="V393" s="105"/>
    </row>
    <row r="394" spans="1:22" x14ac:dyDescent="0.25">
      <c r="A394" s="106"/>
      <c r="F394" s="105"/>
      <c r="H394" s="105"/>
      <c r="J394" s="105"/>
      <c r="K394" s="2"/>
      <c r="L394" s="105"/>
      <c r="M394" s="2"/>
      <c r="N394" s="105"/>
      <c r="O394" s="2"/>
      <c r="P394" s="2"/>
      <c r="Q394" s="2"/>
      <c r="R394" s="2"/>
      <c r="S394" s="2"/>
      <c r="T394" s="2"/>
      <c r="U394" s="2"/>
      <c r="V394" s="105"/>
    </row>
    <row r="395" spans="1:22" x14ac:dyDescent="0.25">
      <c r="A395" s="106"/>
      <c r="F395" s="105"/>
      <c r="H395" s="105"/>
      <c r="J395" s="105"/>
      <c r="K395" s="2"/>
      <c r="L395" s="105"/>
      <c r="M395" s="2"/>
      <c r="N395" s="105"/>
      <c r="O395" s="2"/>
      <c r="P395" s="2"/>
      <c r="Q395" s="2"/>
      <c r="R395" s="2"/>
      <c r="S395" s="2"/>
      <c r="T395" s="2"/>
      <c r="U395" s="2"/>
      <c r="V395" s="105"/>
    </row>
    <row r="396" spans="1:22" x14ac:dyDescent="0.25">
      <c r="A396" s="106"/>
      <c r="F396" s="105"/>
      <c r="H396" s="105"/>
      <c r="J396" s="105"/>
      <c r="K396" s="2"/>
      <c r="L396" s="105"/>
      <c r="M396" s="2"/>
      <c r="N396" s="105"/>
      <c r="O396" s="2"/>
      <c r="P396" s="2"/>
      <c r="Q396" s="2"/>
      <c r="R396" s="2"/>
      <c r="S396" s="2"/>
      <c r="T396" s="2"/>
      <c r="U396" s="2"/>
      <c r="V396" s="105"/>
    </row>
    <row r="397" spans="1:22" x14ac:dyDescent="0.25">
      <c r="A397" s="106"/>
      <c r="F397" s="105"/>
      <c r="H397" s="105"/>
      <c r="J397" s="105"/>
      <c r="K397" s="2"/>
      <c r="L397" s="105"/>
      <c r="M397" s="2"/>
      <c r="N397" s="105"/>
      <c r="O397" s="2"/>
      <c r="P397" s="2"/>
      <c r="Q397" s="2"/>
      <c r="R397" s="2"/>
      <c r="S397" s="2"/>
      <c r="T397" s="2"/>
      <c r="U397" s="2"/>
      <c r="V397" s="105"/>
    </row>
    <row r="398" spans="1:22" x14ac:dyDescent="0.25">
      <c r="A398" s="106"/>
      <c r="F398" s="105"/>
      <c r="H398" s="105"/>
      <c r="J398" s="105"/>
      <c r="K398" s="2"/>
      <c r="L398" s="105"/>
      <c r="M398" s="2"/>
      <c r="N398" s="105"/>
      <c r="O398" s="2"/>
      <c r="P398" s="2"/>
      <c r="Q398" s="2"/>
      <c r="R398" s="2"/>
      <c r="S398" s="2"/>
      <c r="T398" s="2"/>
      <c r="U398" s="2"/>
      <c r="V398" s="105"/>
    </row>
    <row r="399" spans="1:22" x14ac:dyDescent="0.25">
      <c r="A399" s="106"/>
      <c r="F399" s="105"/>
      <c r="H399" s="105"/>
      <c r="J399" s="105"/>
      <c r="K399" s="2"/>
      <c r="L399" s="105"/>
      <c r="M399" s="2"/>
      <c r="N399" s="105"/>
      <c r="O399" s="2"/>
      <c r="P399" s="2"/>
      <c r="Q399" s="2"/>
      <c r="R399" s="2"/>
      <c r="S399" s="2"/>
      <c r="T399" s="2"/>
      <c r="U399" s="2"/>
      <c r="V399" s="105"/>
    </row>
    <row r="400" spans="1:22" x14ac:dyDescent="0.25">
      <c r="A400" s="106"/>
      <c r="F400" s="105"/>
      <c r="H400" s="105"/>
      <c r="J400" s="105"/>
      <c r="K400" s="2"/>
      <c r="L400" s="105"/>
      <c r="M400" s="2"/>
      <c r="N400" s="105"/>
      <c r="O400" s="2"/>
      <c r="P400" s="2"/>
      <c r="Q400" s="2"/>
      <c r="R400" s="2"/>
      <c r="S400" s="2"/>
      <c r="T400" s="2"/>
      <c r="U400" s="2"/>
      <c r="V400" s="105"/>
    </row>
    <row r="401" spans="1:22" x14ac:dyDescent="0.25">
      <c r="A401" s="106"/>
      <c r="F401" s="105"/>
      <c r="H401" s="105"/>
      <c r="J401" s="105"/>
      <c r="K401" s="2"/>
      <c r="L401" s="105"/>
      <c r="M401" s="2"/>
      <c r="N401" s="105"/>
      <c r="O401" s="2"/>
      <c r="P401" s="2"/>
      <c r="Q401" s="2"/>
      <c r="R401" s="2"/>
      <c r="S401" s="2"/>
      <c r="T401" s="2"/>
      <c r="U401" s="2"/>
      <c r="V401" s="105"/>
    </row>
    <row r="402" spans="1:22" x14ac:dyDescent="0.25">
      <c r="A402" s="106"/>
      <c r="F402" s="105"/>
      <c r="H402" s="105"/>
      <c r="J402" s="105"/>
      <c r="K402" s="2"/>
      <c r="L402" s="105"/>
      <c r="M402" s="2"/>
      <c r="N402" s="105"/>
      <c r="O402" s="2"/>
      <c r="P402" s="2"/>
      <c r="Q402" s="2"/>
      <c r="R402" s="2"/>
      <c r="S402" s="2"/>
      <c r="T402" s="2"/>
      <c r="U402" s="2"/>
      <c r="V402" s="105"/>
    </row>
    <row r="403" spans="1:22" x14ac:dyDescent="0.25">
      <c r="A403" s="106"/>
      <c r="F403" s="105"/>
      <c r="H403" s="105"/>
      <c r="J403" s="105"/>
      <c r="K403" s="2"/>
      <c r="L403" s="105"/>
      <c r="M403" s="2"/>
      <c r="N403" s="105"/>
      <c r="O403" s="2"/>
      <c r="P403" s="2"/>
      <c r="Q403" s="2"/>
      <c r="R403" s="2"/>
      <c r="S403" s="2"/>
      <c r="T403" s="2"/>
      <c r="U403" s="2"/>
      <c r="V403" s="105"/>
    </row>
    <row r="404" spans="1:22" x14ac:dyDescent="0.25">
      <c r="A404" s="106"/>
      <c r="F404" s="105"/>
      <c r="H404" s="105"/>
      <c r="J404" s="105"/>
      <c r="K404" s="2"/>
      <c r="L404" s="105"/>
      <c r="M404" s="2"/>
      <c r="N404" s="105"/>
      <c r="O404" s="2"/>
      <c r="P404" s="2"/>
      <c r="Q404" s="2"/>
      <c r="R404" s="2"/>
      <c r="S404" s="2"/>
      <c r="T404" s="2"/>
      <c r="U404" s="2"/>
      <c r="V404" s="105"/>
    </row>
    <row r="405" spans="1:22" x14ac:dyDescent="0.25">
      <c r="A405" s="106"/>
      <c r="F405" s="105"/>
      <c r="H405" s="105"/>
      <c r="J405" s="105"/>
      <c r="K405" s="2"/>
      <c r="L405" s="105"/>
      <c r="M405" s="2"/>
      <c r="N405" s="105"/>
      <c r="O405" s="2"/>
      <c r="P405" s="2"/>
      <c r="Q405" s="2"/>
      <c r="R405" s="2"/>
      <c r="S405" s="2"/>
      <c r="T405" s="2"/>
      <c r="U405" s="2"/>
      <c r="V405" s="105"/>
    </row>
    <row r="406" spans="1:22" x14ac:dyDescent="0.25">
      <c r="A406" s="106"/>
      <c r="F406" s="105"/>
      <c r="H406" s="105"/>
      <c r="J406" s="105"/>
      <c r="K406" s="2"/>
      <c r="L406" s="105"/>
      <c r="M406" s="2"/>
      <c r="N406" s="105"/>
      <c r="O406" s="2"/>
      <c r="P406" s="2"/>
      <c r="Q406" s="2"/>
      <c r="R406" s="2"/>
      <c r="S406" s="2"/>
      <c r="T406" s="2"/>
      <c r="U406" s="2"/>
      <c r="V406" s="105"/>
    </row>
    <row r="407" spans="1:22" x14ac:dyDescent="0.25">
      <c r="A407" s="106"/>
      <c r="F407" s="105"/>
      <c r="H407" s="105"/>
      <c r="J407" s="105"/>
      <c r="K407" s="2"/>
      <c r="L407" s="105"/>
      <c r="M407" s="2"/>
      <c r="N407" s="105"/>
      <c r="O407" s="2"/>
      <c r="P407" s="2"/>
      <c r="Q407" s="2"/>
      <c r="R407" s="2"/>
      <c r="S407" s="2"/>
      <c r="T407" s="2"/>
      <c r="U407" s="2"/>
      <c r="V407" s="105"/>
    </row>
    <row r="408" spans="1:22" x14ac:dyDescent="0.25">
      <c r="A408" s="106"/>
      <c r="F408" s="105"/>
      <c r="H408" s="105"/>
      <c r="J408" s="105"/>
      <c r="K408" s="2"/>
      <c r="L408" s="105"/>
      <c r="M408" s="2"/>
      <c r="N408" s="105"/>
      <c r="O408" s="2"/>
      <c r="P408" s="2"/>
      <c r="Q408" s="2"/>
      <c r="R408" s="2"/>
      <c r="S408" s="2"/>
      <c r="T408" s="2"/>
      <c r="U408" s="2"/>
      <c r="V408" s="105"/>
    </row>
    <row r="409" spans="1:22" x14ac:dyDescent="0.25">
      <c r="A409" s="106"/>
      <c r="F409" s="105"/>
      <c r="H409" s="105"/>
      <c r="J409" s="105"/>
      <c r="K409" s="2"/>
      <c r="L409" s="105"/>
      <c r="M409" s="2"/>
      <c r="N409" s="105"/>
      <c r="O409" s="2"/>
      <c r="P409" s="2"/>
      <c r="Q409" s="2"/>
      <c r="R409" s="2"/>
      <c r="S409" s="2"/>
      <c r="T409" s="2"/>
      <c r="U409" s="2"/>
      <c r="V409" s="105"/>
    </row>
    <row r="410" spans="1:22" x14ac:dyDescent="0.25">
      <c r="A410" s="106"/>
      <c r="F410" s="105"/>
      <c r="H410" s="105"/>
      <c r="J410" s="105"/>
      <c r="K410" s="2"/>
      <c r="L410" s="105"/>
      <c r="M410" s="2"/>
      <c r="N410" s="105"/>
      <c r="O410" s="2"/>
      <c r="P410" s="2"/>
      <c r="Q410" s="2"/>
      <c r="R410" s="2"/>
      <c r="S410" s="2"/>
      <c r="T410" s="2"/>
      <c r="U410" s="2"/>
      <c r="V410" s="105"/>
    </row>
    <row r="411" spans="1:22" x14ac:dyDescent="0.25">
      <c r="A411" s="106"/>
      <c r="F411" s="105"/>
      <c r="H411" s="105"/>
      <c r="J411" s="105"/>
      <c r="K411" s="2"/>
      <c r="L411" s="105"/>
      <c r="M411" s="2"/>
      <c r="N411" s="105"/>
      <c r="O411" s="2"/>
      <c r="P411" s="2"/>
      <c r="Q411" s="2"/>
      <c r="R411" s="2"/>
      <c r="S411" s="2"/>
      <c r="T411" s="2"/>
      <c r="U411" s="2"/>
      <c r="V411" s="105"/>
    </row>
    <row r="412" spans="1:22" x14ac:dyDescent="0.25">
      <c r="A412" s="106"/>
      <c r="F412" s="105"/>
      <c r="H412" s="105"/>
      <c r="J412" s="105"/>
      <c r="K412" s="2"/>
      <c r="L412" s="105"/>
      <c r="M412" s="2"/>
      <c r="N412" s="105"/>
      <c r="O412" s="2"/>
      <c r="P412" s="2"/>
      <c r="Q412" s="2"/>
      <c r="R412" s="2"/>
      <c r="S412" s="2"/>
      <c r="T412" s="2"/>
      <c r="U412" s="2"/>
      <c r="V412" s="105"/>
    </row>
    <row r="413" spans="1:22" x14ac:dyDescent="0.25">
      <c r="A413" s="106"/>
      <c r="F413" s="105"/>
      <c r="H413" s="105"/>
      <c r="J413" s="105"/>
      <c r="K413" s="2"/>
      <c r="L413" s="105"/>
      <c r="M413" s="2"/>
      <c r="N413" s="105"/>
      <c r="O413" s="2"/>
      <c r="P413" s="2"/>
      <c r="Q413" s="2"/>
      <c r="R413" s="2"/>
      <c r="S413" s="2"/>
      <c r="T413" s="2"/>
      <c r="U413" s="2"/>
      <c r="V413" s="105"/>
    </row>
    <row r="414" spans="1:22" x14ac:dyDescent="0.25">
      <c r="A414" s="106"/>
      <c r="F414" s="105"/>
      <c r="H414" s="105"/>
      <c r="J414" s="105"/>
      <c r="K414" s="2"/>
      <c r="L414" s="105"/>
      <c r="M414" s="2"/>
      <c r="N414" s="105"/>
      <c r="O414" s="2"/>
      <c r="P414" s="2"/>
      <c r="Q414" s="2"/>
      <c r="R414" s="2"/>
      <c r="S414" s="2"/>
      <c r="T414" s="2"/>
      <c r="U414" s="2"/>
      <c r="V414" s="105"/>
    </row>
    <row r="415" spans="1:22" x14ac:dyDescent="0.25">
      <c r="A415" s="106"/>
      <c r="F415" s="105"/>
      <c r="H415" s="105"/>
      <c r="J415" s="105"/>
      <c r="K415" s="2"/>
      <c r="L415" s="105"/>
      <c r="M415" s="2"/>
      <c r="N415" s="105"/>
      <c r="O415" s="2"/>
      <c r="P415" s="2"/>
      <c r="Q415" s="2"/>
      <c r="R415" s="2"/>
      <c r="S415" s="2"/>
      <c r="T415" s="2"/>
      <c r="U415" s="2"/>
      <c r="V415" s="105"/>
    </row>
    <row r="416" spans="1:22" x14ac:dyDescent="0.25">
      <c r="A416" s="106"/>
      <c r="F416" s="105"/>
      <c r="H416" s="105"/>
      <c r="J416" s="105"/>
      <c r="K416" s="2"/>
      <c r="L416" s="105"/>
      <c r="M416" s="2"/>
      <c r="N416" s="105"/>
      <c r="O416" s="2"/>
      <c r="P416" s="2"/>
      <c r="Q416" s="2"/>
      <c r="R416" s="2"/>
      <c r="S416" s="2"/>
      <c r="T416" s="2"/>
      <c r="U416" s="2"/>
      <c r="V416" s="105"/>
    </row>
    <row r="417" spans="1:22" x14ac:dyDescent="0.25">
      <c r="A417" s="106"/>
      <c r="F417" s="105"/>
      <c r="H417" s="105"/>
      <c r="J417" s="105"/>
      <c r="K417" s="2"/>
      <c r="L417" s="105"/>
      <c r="M417" s="2"/>
      <c r="N417" s="105"/>
      <c r="O417" s="2"/>
      <c r="P417" s="2"/>
      <c r="Q417" s="2"/>
      <c r="R417" s="2"/>
      <c r="S417" s="2"/>
      <c r="T417" s="2"/>
      <c r="U417" s="2"/>
      <c r="V417" s="105"/>
    </row>
    <row r="418" spans="1:22" x14ac:dyDescent="0.25">
      <c r="A418" s="106"/>
      <c r="F418" s="105"/>
      <c r="H418" s="105"/>
      <c r="J418" s="105"/>
      <c r="K418" s="2"/>
      <c r="L418" s="105"/>
      <c r="M418" s="2"/>
      <c r="N418" s="105"/>
      <c r="O418" s="2"/>
      <c r="P418" s="2"/>
      <c r="Q418" s="2"/>
      <c r="R418" s="2"/>
      <c r="S418" s="2"/>
      <c r="T418" s="2"/>
      <c r="U418" s="2"/>
      <c r="V418" s="105"/>
    </row>
    <row r="419" spans="1:22" x14ac:dyDescent="0.25">
      <c r="A419" s="106"/>
      <c r="F419" s="105"/>
      <c r="H419" s="105"/>
      <c r="J419" s="105"/>
      <c r="K419" s="2"/>
      <c r="L419" s="105"/>
      <c r="M419" s="2"/>
      <c r="N419" s="105"/>
      <c r="O419" s="2"/>
      <c r="P419" s="2"/>
      <c r="Q419" s="2"/>
      <c r="R419" s="2"/>
      <c r="S419" s="2"/>
      <c r="T419" s="2"/>
      <c r="U419" s="2"/>
      <c r="V419" s="105"/>
    </row>
    <row r="420" spans="1:22" x14ac:dyDescent="0.25">
      <c r="A420" s="106"/>
      <c r="F420" s="105"/>
      <c r="H420" s="105"/>
      <c r="J420" s="105"/>
      <c r="K420" s="2"/>
      <c r="L420" s="105"/>
      <c r="M420" s="2"/>
      <c r="N420" s="105"/>
      <c r="O420" s="2"/>
      <c r="P420" s="2"/>
      <c r="Q420" s="2"/>
      <c r="R420" s="2"/>
      <c r="S420" s="2"/>
      <c r="T420" s="2"/>
      <c r="U420" s="2"/>
      <c r="V420" s="105"/>
    </row>
    <row r="421" spans="1:22" x14ac:dyDescent="0.25">
      <c r="A421" s="106"/>
      <c r="F421" s="105"/>
      <c r="H421" s="105"/>
      <c r="J421" s="105"/>
      <c r="K421" s="2"/>
      <c r="L421" s="105"/>
      <c r="M421" s="2"/>
      <c r="N421" s="105"/>
      <c r="O421" s="2"/>
      <c r="P421" s="2"/>
      <c r="Q421" s="2"/>
      <c r="R421" s="2"/>
      <c r="S421" s="2"/>
      <c r="T421" s="2"/>
      <c r="U421" s="2"/>
      <c r="V421" s="105"/>
    </row>
    <row r="422" spans="1:22" x14ac:dyDescent="0.25">
      <c r="A422" s="106"/>
      <c r="F422" s="105"/>
      <c r="H422" s="105"/>
      <c r="J422" s="105"/>
      <c r="K422" s="2"/>
      <c r="L422" s="105"/>
      <c r="M422" s="2"/>
      <c r="N422" s="105"/>
      <c r="O422" s="2"/>
      <c r="P422" s="2"/>
      <c r="Q422" s="2"/>
      <c r="R422" s="2"/>
      <c r="S422" s="2"/>
      <c r="T422" s="2"/>
      <c r="U422" s="2"/>
      <c r="V422" s="105"/>
    </row>
    <row r="423" spans="1:22" x14ac:dyDescent="0.25">
      <c r="A423" s="106"/>
      <c r="F423" s="105"/>
      <c r="H423" s="105"/>
      <c r="J423" s="105"/>
      <c r="K423" s="2"/>
      <c r="L423" s="105"/>
      <c r="M423" s="2"/>
      <c r="N423" s="105"/>
      <c r="O423" s="2"/>
      <c r="P423" s="2"/>
      <c r="Q423" s="2"/>
      <c r="R423" s="2"/>
      <c r="S423" s="2"/>
      <c r="T423" s="2"/>
      <c r="U423" s="2"/>
      <c r="V423" s="105"/>
    </row>
    <row r="424" spans="1:22" x14ac:dyDescent="0.25">
      <c r="A424" s="106"/>
      <c r="F424" s="105"/>
      <c r="H424" s="105"/>
      <c r="J424" s="105"/>
      <c r="K424" s="2"/>
      <c r="L424" s="105"/>
      <c r="M424" s="2"/>
      <c r="N424" s="105"/>
      <c r="O424" s="2"/>
      <c r="P424" s="2"/>
      <c r="Q424" s="2"/>
      <c r="R424" s="2"/>
      <c r="S424" s="2"/>
      <c r="T424" s="2"/>
      <c r="U424" s="2"/>
      <c r="V424" s="105"/>
    </row>
    <row r="425" spans="1:22" x14ac:dyDescent="0.25">
      <c r="A425" s="106"/>
      <c r="F425" s="105"/>
      <c r="H425" s="105"/>
      <c r="J425" s="105"/>
      <c r="K425" s="2"/>
      <c r="L425" s="105"/>
      <c r="M425" s="2"/>
      <c r="N425" s="105"/>
      <c r="O425" s="2"/>
      <c r="P425" s="2"/>
      <c r="Q425" s="2"/>
      <c r="R425" s="2"/>
      <c r="S425" s="2"/>
      <c r="T425" s="2"/>
      <c r="U425" s="2"/>
      <c r="V425" s="105"/>
    </row>
    <row r="426" spans="1:22" x14ac:dyDescent="0.25">
      <c r="A426" s="106"/>
      <c r="F426" s="105"/>
      <c r="H426" s="105"/>
      <c r="J426" s="105"/>
      <c r="K426" s="2"/>
      <c r="L426" s="105"/>
      <c r="M426" s="2"/>
      <c r="N426" s="105"/>
      <c r="O426" s="2"/>
      <c r="P426" s="2"/>
      <c r="Q426" s="2"/>
      <c r="R426" s="2"/>
      <c r="S426" s="2"/>
      <c r="T426" s="2"/>
      <c r="U426" s="2"/>
      <c r="V426" s="105"/>
    </row>
    <row r="427" spans="1:22" x14ac:dyDescent="0.25">
      <c r="A427" s="106"/>
      <c r="F427" s="105"/>
      <c r="H427" s="105"/>
      <c r="J427" s="105"/>
      <c r="K427" s="2"/>
      <c r="L427" s="105"/>
      <c r="M427" s="2"/>
      <c r="N427" s="105"/>
      <c r="O427" s="2"/>
      <c r="P427" s="2"/>
      <c r="Q427" s="2"/>
      <c r="R427" s="2"/>
      <c r="S427" s="2"/>
      <c r="T427" s="2"/>
      <c r="U427" s="2"/>
      <c r="V427" s="105"/>
    </row>
    <row r="428" spans="1:22" x14ac:dyDescent="0.25">
      <c r="A428" s="106"/>
      <c r="F428" s="105"/>
      <c r="H428" s="105"/>
      <c r="J428" s="105"/>
      <c r="K428" s="2"/>
      <c r="L428" s="105"/>
      <c r="M428" s="2"/>
      <c r="N428" s="105"/>
      <c r="O428" s="2"/>
      <c r="P428" s="2"/>
      <c r="Q428" s="2"/>
      <c r="R428" s="2"/>
      <c r="S428" s="2"/>
      <c r="T428" s="2"/>
      <c r="U428" s="2"/>
      <c r="V428" s="105"/>
    </row>
    <row r="429" spans="1:22" x14ac:dyDescent="0.25">
      <c r="A429" s="106"/>
      <c r="F429" s="105"/>
      <c r="H429" s="105"/>
      <c r="J429" s="105"/>
      <c r="K429" s="2"/>
      <c r="L429" s="105"/>
      <c r="M429" s="2"/>
      <c r="N429" s="105"/>
      <c r="O429" s="2"/>
      <c r="P429" s="2"/>
      <c r="Q429" s="2"/>
      <c r="R429" s="2"/>
      <c r="S429" s="2"/>
      <c r="T429" s="2"/>
      <c r="U429" s="2"/>
      <c r="V429" s="105"/>
    </row>
    <row r="430" spans="1:22" x14ac:dyDescent="0.25">
      <c r="A430" s="106"/>
      <c r="F430" s="105"/>
      <c r="H430" s="105"/>
      <c r="J430" s="105"/>
      <c r="K430" s="2"/>
      <c r="L430" s="105"/>
      <c r="M430" s="2"/>
      <c r="N430" s="105"/>
      <c r="O430" s="2"/>
      <c r="P430" s="2"/>
      <c r="Q430" s="2"/>
      <c r="R430" s="2"/>
      <c r="S430" s="2"/>
      <c r="T430" s="2"/>
      <c r="U430" s="2"/>
      <c r="V430" s="105"/>
    </row>
    <row r="431" spans="1:22" x14ac:dyDescent="0.25">
      <c r="A431" s="106"/>
      <c r="F431" s="105"/>
      <c r="H431" s="105"/>
      <c r="J431" s="105"/>
      <c r="K431" s="2"/>
      <c r="L431" s="105"/>
      <c r="M431" s="2"/>
      <c r="N431" s="105"/>
      <c r="O431" s="2"/>
      <c r="P431" s="2"/>
      <c r="Q431" s="2"/>
      <c r="R431" s="2"/>
      <c r="S431" s="2"/>
      <c r="T431" s="2"/>
      <c r="U431" s="2"/>
      <c r="V431" s="105"/>
    </row>
    <row r="432" spans="1:22" x14ac:dyDescent="0.25">
      <c r="A432" s="106"/>
      <c r="F432" s="105"/>
      <c r="H432" s="105"/>
      <c r="J432" s="105"/>
      <c r="K432" s="2"/>
      <c r="L432" s="105"/>
      <c r="M432" s="2"/>
      <c r="N432" s="105"/>
      <c r="O432" s="2"/>
      <c r="P432" s="2"/>
      <c r="Q432" s="2"/>
      <c r="R432" s="2"/>
      <c r="S432" s="2"/>
      <c r="T432" s="2"/>
      <c r="U432" s="2"/>
      <c r="V432" s="105"/>
    </row>
    <row r="433" spans="1:22" x14ac:dyDescent="0.25">
      <c r="A433" s="106"/>
      <c r="F433" s="105"/>
      <c r="H433" s="105"/>
      <c r="J433" s="105"/>
      <c r="K433" s="2"/>
      <c r="L433" s="105"/>
      <c r="M433" s="2"/>
      <c r="N433" s="105"/>
      <c r="O433" s="2"/>
      <c r="P433" s="2"/>
      <c r="Q433" s="2"/>
      <c r="R433" s="2"/>
      <c r="S433" s="2"/>
      <c r="T433" s="2"/>
      <c r="U433" s="2"/>
      <c r="V433" s="105"/>
    </row>
    <row r="434" spans="1:22" x14ac:dyDescent="0.25">
      <c r="A434" s="106"/>
      <c r="F434" s="105"/>
      <c r="H434" s="105"/>
      <c r="J434" s="105"/>
      <c r="K434" s="2"/>
      <c r="L434" s="105"/>
      <c r="M434" s="2"/>
      <c r="N434" s="105"/>
      <c r="O434" s="2"/>
      <c r="P434" s="2"/>
      <c r="Q434" s="2"/>
      <c r="R434" s="2"/>
      <c r="S434" s="2"/>
      <c r="T434" s="2"/>
      <c r="U434" s="2"/>
      <c r="V434" s="105"/>
    </row>
    <row r="435" spans="1:22" x14ac:dyDescent="0.25">
      <c r="A435" s="106"/>
      <c r="F435" s="105"/>
      <c r="H435" s="105"/>
      <c r="J435" s="105"/>
      <c r="K435" s="2"/>
      <c r="L435" s="105"/>
      <c r="M435" s="2"/>
      <c r="N435" s="105"/>
      <c r="O435" s="2"/>
      <c r="P435" s="2"/>
      <c r="Q435" s="2"/>
      <c r="R435" s="2"/>
      <c r="S435" s="2"/>
      <c r="T435" s="2"/>
      <c r="U435" s="2"/>
      <c r="V435" s="105"/>
    </row>
    <row r="436" spans="1:22" x14ac:dyDescent="0.25">
      <c r="A436" s="106"/>
      <c r="F436" s="105"/>
      <c r="H436" s="105"/>
      <c r="J436" s="105"/>
      <c r="K436" s="2"/>
      <c r="L436" s="105"/>
      <c r="M436" s="2"/>
      <c r="N436" s="105"/>
      <c r="O436" s="2"/>
      <c r="P436" s="2"/>
      <c r="Q436" s="2"/>
      <c r="R436" s="2"/>
      <c r="S436" s="2"/>
      <c r="T436" s="2"/>
      <c r="U436" s="2"/>
      <c r="V436" s="105"/>
    </row>
    <row r="437" spans="1:22" x14ac:dyDescent="0.25">
      <c r="A437" s="106"/>
      <c r="F437" s="105"/>
      <c r="H437" s="105"/>
      <c r="J437" s="105"/>
      <c r="K437" s="2"/>
      <c r="L437" s="105"/>
      <c r="M437" s="2"/>
      <c r="N437" s="105"/>
      <c r="O437" s="2"/>
      <c r="P437" s="2"/>
      <c r="Q437" s="2"/>
      <c r="R437" s="2"/>
      <c r="S437" s="2"/>
      <c r="T437" s="2"/>
      <c r="U437" s="2"/>
      <c r="V437" s="105"/>
    </row>
    <row r="438" spans="1:22" x14ac:dyDescent="0.25">
      <c r="A438" s="106"/>
      <c r="F438" s="105"/>
      <c r="H438" s="105"/>
      <c r="J438" s="105"/>
      <c r="K438" s="2"/>
      <c r="L438" s="105"/>
      <c r="M438" s="2"/>
      <c r="N438" s="105"/>
      <c r="O438" s="2"/>
      <c r="P438" s="2"/>
      <c r="Q438" s="2"/>
      <c r="R438" s="2"/>
      <c r="S438" s="2"/>
      <c r="T438" s="2"/>
      <c r="U438" s="2"/>
      <c r="V438" s="105"/>
    </row>
    <row r="439" spans="1:22" x14ac:dyDescent="0.25">
      <c r="A439" s="106"/>
      <c r="F439" s="105"/>
      <c r="H439" s="105"/>
      <c r="J439" s="105"/>
      <c r="K439" s="2"/>
      <c r="L439" s="105"/>
      <c r="M439" s="2"/>
      <c r="N439" s="105"/>
      <c r="O439" s="2"/>
      <c r="P439" s="2"/>
      <c r="Q439" s="2"/>
      <c r="R439" s="2"/>
      <c r="S439" s="2"/>
      <c r="T439" s="2"/>
      <c r="U439" s="2"/>
      <c r="V439" s="105"/>
    </row>
    <row r="440" spans="1:22" x14ac:dyDescent="0.25">
      <c r="A440" s="106"/>
      <c r="F440" s="105"/>
      <c r="H440" s="105"/>
      <c r="J440" s="105"/>
      <c r="K440" s="2"/>
      <c r="L440" s="105"/>
      <c r="M440" s="2"/>
      <c r="N440" s="105"/>
      <c r="O440" s="2"/>
      <c r="P440" s="2"/>
      <c r="Q440" s="2"/>
      <c r="R440" s="2"/>
      <c r="S440" s="2"/>
      <c r="T440" s="2"/>
      <c r="U440" s="2"/>
      <c r="V440" s="105"/>
    </row>
    <row r="441" spans="1:22" x14ac:dyDescent="0.25">
      <c r="A441" s="106"/>
      <c r="F441" s="105"/>
      <c r="H441" s="105"/>
      <c r="J441" s="105"/>
      <c r="K441" s="2"/>
      <c r="L441" s="105"/>
      <c r="M441" s="2"/>
      <c r="N441" s="105"/>
      <c r="O441" s="2"/>
      <c r="P441" s="2"/>
      <c r="Q441" s="2"/>
      <c r="R441" s="2"/>
      <c r="S441" s="2"/>
      <c r="T441" s="2"/>
      <c r="U441" s="2"/>
      <c r="V441" s="105"/>
    </row>
    <row r="442" spans="1:22" x14ac:dyDescent="0.25">
      <c r="A442" s="106"/>
      <c r="F442" s="105"/>
      <c r="H442" s="105"/>
      <c r="J442" s="105"/>
      <c r="K442" s="2"/>
      <c r="L442" s="105"/>
      <c r="M442" s="2"/>
      <c r="N442" s="105"/>
      <c r="O442" s="2"/>
      <c r="P442" s="2"/>
      <c r="Q442" s="2"/>
      <c r="R442" s="2"/>
      <c r="S442" s="2"/>
      <c r="T442" s="2"/>
      <c r="U442" s="2"/>
      <c r="V442" s="105"/>
    </row>
    <row r="443" spans="1:22" x14ac:dyDescent="0.25">
      <c r="A443" s="106"/>
      <c r="F443" s="105"/>
      <c r="H443" s="105"/>
      <c r="J443" s="105"/>
      <c r="K443" s="2"/>
      <c r="L443" s="105"/>
      <c r="M443" s="2"/>
      <c r="N443" s="105"/>
      <c r="O443" s="2"/>
      <c r="P443" s="2"/>
      <c r="Q443" s="2"/>
      <c r="R443" s="2"/>
      <c r="S443" s="2"/>
      <c r="T443" s="2"/>
      <c r="U443" s="2"/>
      <c r="V443" s="105"/>
    </row>
    <row r="444" spans="1:22" x14ac:dyDescent="0.25">
      <c r="A444" s="106"/>
      <c r="F444" s="105"/>
      <c r="H444" s="105"/>
      <c r="J444" s="105"/>
      <c r="K444" s="2"/>
      <c r="L444" s="105"/>
      <c r="M444" s="2"/>
      <c r="N444" s="105"/>
      <c r="O444" s="2"/>
      <c r="P444" s="2"/>
      <c r="Q444" s="2"/>
      <c r="R444" s="2"/>
      <c r="S444" s="2"/>
      <c r="T444" s="2"/>
      <c r="U444" s="2"/>
      <c r="V444" s="105"/>
    </row>
    <row r="445" spans="1:22" x14ac:dyDescent="0.25">
      <c r="A445" s="106"/>
      <c r="F445" s="105"/>
      <c r="H445" s="105"/>
      <c r="J445" s="105"/>
      <c r="K445" s="2"/>
      <c r="L445" s="105"/>
      <c r="M445" s="2"/>
      <c r="N445" s="105"/>
      <c r="O445" s="2"/>
      <c r="P445" s="2"/>
      <c r="Q445" s="2"/>
      <c r="R445" s="2"/>
      <c r="S445" s="2"/>
      <c r="T445" s="2"/>
      <c r="U445" s="2"/>
      <c r="V445" s="105"/>
    </row>
    <row r="446" spans="1:22" x14ac:dyDescent="0.25">
      <c r="A446" s="106"/>
      <c r="F446" s="105"/>
      <c r="H446" s="105"/>
      <c r="J446" s="105"/>
      <c r="K446" s="2"/>
      <c r="L446" s="105"/>
      <c r="M446" s="2"/>
      <c r="N446" s="105"/>
      <c r="O446" s="2"/>
      <c r="P446" s="2"/>
      <c r="Q446" s="2"/>
      <c r="R446" s="2"/>
      <c r="S446" s="2"/>
      <c r="T446" s="2"/>
      <c r="U446" s="2"/>
      <c r="V446" s="105"/>
    </row>
    <row r="447" spans="1:22" x14ac:dyDescent="0.25">
      <c r="A447" s="106"/>
      <c r="F447" s="105"/>
      <c r="H447" s="105"/>
      <c r="J447" s="105"/>
      <c r="K447" s="2"/>
      <c r="L447" s="105"/>
      <c r="M447" s="2"/>
      <c r="N447" s="105"/>
      <c r="O447" s="2"/>
      <c r="P447" s="2"/>
      <c r="Q447" s="2"/>
      <c r="R447" s="2"/>
      <c r="S447" s="2"/>
      <c r="T447" s="2"/>
      <c r="U447" s="2"/>
      <c r="V447" s="105"/>
    </row>
    <row r="448" spans="1:22" x14ac:dyDescent="0.25">
      <c r="A448" s="106"/>
      <c r="F448" s="105"/>
      <c r="H448" s="105"/>
      <c r="J448" s="105"/>
      <c r="K448" s="2"/>
      <c r="L448" s="105"/>
      <c r="M448" s="2"/>
      <c r="N448" s="105"/>
      <c r="O448" s="2"/>
      <c r="P448" s="2"/>
      <c r="Q448" s="2"/>
      <c r="R448" s="2"/>
      <c r="S448" s="2"/>
      <c r="T448" s="2"/>
      <c r="U448" s="2"/>
      <c r="V448" s="105"/>
    </row>
    <row r="449" spans="1:22" x14ac:dyDescent="0.25">
      <c r="A449" s="106"/>
      <c r="F449" s="105"/>
      <c r="H449" s="105"/>
      <c r="J449" s="105"/>
      <c r="K449" s="2"/>
      <c r="L449" s="105"/>
      <c r="M449" s="2"/>
      <c r="N449" s="105"/>
      <c r="O449" s="2"/>
      <c r="P449" s="2"/>
      <c r="Q449" s="2"/>
      <c r="R449" s="2"/>
      <c r="S449" s="2"/>
      <c r="T449" s="2"/>
      <c r="U449" s="2"/>
      <c r="V449" s="105"/>
    </row>
    <row r="450" spans="1:22" x14ac:dyDescent="0.25">
      <c r="A450" s="106"/>
      <c r="F450" s="105"/>
      <c r="H450" s="105"/>
      <c r="J450" s="105"/>
      <c r="K450" s="2"/>
      <c r="L450" s="105"/>
      <c r="M450" s="2"/>
      <c r="N450" s="105"/>
      <c r="O450" s="2"/>
      <c r="P450" s="2"/>
      <c r="Q450" s="2"/>
      <c r="R450" s="2"/>
      <c r="S450" s="2"/>
      <c r="T450" s="2"/>
      <c r="U450" s="2"/>
      <c r="V450" s="105"/>
    </row>
    <row r="451" spans="1:22" x14ac:dyDescent="0.25">
      <c r="A451" s="106"/>
      <c r="F451" s="105"/>
      <c r="H451" s="105"/>
      <c r="J451" s="105"/>
      <c r="K451" s="2"/>
      <c r="L451" s="105"/>
      <c r="M451" s="2"/>
      <c r="N451" s="105"/>
      <c r="O451" s="2"/>
      <c r="P451" s="2"/>
      <c r="Q451" s="2"/>
      <c r="R451" s="2"/>
      <c r="S451" s="2"/>
      <c r="T451" s="2"/>
      <c r="U451" s="2"/>
      <c r="V451" s="105"/>
    </row>
    <row r="452" spans="1:22" x14ac:dyDescent="0.25">
      <c r="A452" s="106"/>
      <c r="F452" s="105"/>
      <c r="H452" s="105"/>
      <c r="J452" s="105"/>
      <c r="K452" s="2"/>
      <c r="L452" s="105"/>
      <c r="M452" s="2"/>
      <c r="N452" s="105"/>
      <c r="O452" s="2"/>
      <c r="P452" s="2"/>
      <c r="Q452" s="2"/>
      <c r="R452" s="2"/>
      <c r="S452" s="2"/>
      <c r="T452" s="2"/>
      <c r="U452" s="2"/>
      <c r="V452" s="105"/>
    </row>
    <row r="453" spans="1:22" x14ac:dyDescent="0.25">
      <c r="A453" s="106"/>
      <c r="F453" s="105"/>
      <c r="H453" s="105"/>
      <c r="J453" s="105"/>
      <c r="K453" s="2"/>
      <c r="L453" s="105"/>
      <c r="M453" s="2"/>
      <c r="N453" s="105"/>
      <c r="O453" s="2"/>
      <c r="P453" s="2"/>
      <c r="Q453" s="2"/>
      <c r="R453" s="2"/>
      <c r="S453" s="2"/>
      <c r="T453" s="2"/>
      <c r="U453" s="2"/>
      <c r="V453" s="105"/>
    </row>
    <row r="454" spans="1:22" x14ac:dyDescent="0.25">
      <c r="A454" s="106"/>
      <c r="F454" s="105"/>
      <c r="H454" s="105"/>
      <c r="J454" s="105"/>
      <c r="K454" s="2"/>
      <c r="L454" s="105"/>
      <c r="M454" s="2"/>
      <c r="N454" s="105"/>
      <c r="O454" s="2"/>
      <c r="P454" s="2"/>
      <c r="Q454" s="2"/>
      <c r="R454" s="2"/>
      <c r="S454" s="2"/>
      <c r="T454" s="2"/>
      <c r="U454" s="2"/>
      <c r="V454" s="105"/>
    </row>
    <row r="455" spans="1:22" x14ac:dyDescent="0.25">
      <c r="A455" s="106"/>
      <c r="F455" s="105"/>
      <c r="H455" s="105"/>
      <c r="J455" s="105"/>
      <c r="K455" s="2"/>
      <c r="L455" s="105"/>
      <c r="M455" s="2"/>
      <c r="N455" s="105"/>
      <c r="O455" s="2"/>
      <c r="P455" s="2"/>
      <c r="Q455" s="2"/>
      <c r="R455" s="2"/>
      <c r="S455" s="2"/>
      <c r="T455" s="2"/>
      <c r="U455" s="2"/>
      <c r="V455" s="105"/>
    </row>
    <row r="456" spans="1:22" x14ac:dyDescent="0.25">
      <c r="A456" s="106"/>
      <c r="F456" s="105"/>
      <c r="H456" s="105"/>
      <c r="J456" s="105"/>
      <c r="K456" s="2"/>
      <c r="L456" s="105"/>
      <c r="M456" s="2"/>
      <c r="N456" s="105"/>
      <c r="O456" s="2"/>
      <c r="P456" s="2"/>
      <c r="Q456" s="2"/>
      <c r="R456" s="2"/>
      <c r="S456" s="2"/>
      <c r="T456" s="2"/>
      <c r="U456" s="2"/>
      <c r="V456" s="105"/>
    </row>
    <row r="457" spans="1:22" x14ac:dyDescent="0.25">
      <c r="A457" s="106"/>
      <c r="F457" s="105"/>
      <c r="H457" s="105"/>
      <c r="J457" s="105"/>
      <c r="K457" s="2"/>
      <c r="L457" s="105"/>
      <c r="M457" s="2"/>
      <c r="N457" s="105"/>
      <c r="O457" s="2"/>
      <c r="P457" s="2"/>
      <c r="Q457" s="2"/>
      <c r="R457" s="2"/>
      <c r="S457" s="2"/>
      <c r="T457" s="2"/>
      <c r="U457" s="2"/>
      <c r="V457" s="105"/>
    </row>
    <row r="458" spans="1:22" x14ac:dyDescent="0.25">
      <c r="A458" s="106"/>
      <c r="F458" s="105"/>
      <c r="H458" s="105"/>
      <c r="J458" s="105"/>
      <c r="K458" s="2"/>
      <c r="L458" s="105"/>
      <c r="M458" s="2"/>
      <c r="N458" s="105"/>
      <c r="O458" s="2"/>
      <c r="P458" s="2"/>
      <c r="Q458" s="2"/>
      <c r="R458" s="2"/>
      <c r="S458" s="2"/>
      <c r="T458" s="2"/>
      <c r="U458" s="2"/>
      <c r="V458" s="105"/>
    </row>
    <row r="459" spans="1:22" x14ac:dyDescent="0.25">
      <c r="A459" s="106"/>
      <c r="F459" s="105"/>
      <c r="H459" s="105"/>
      <c r="J459" s="105"/>
      <c r="K459" s="2"/>
      <c r="L459" s="105"/>
      <c r="M459" s="2"/>
      <c r="N459" s="105"/>
      <c r="O459" s="2"/>
      <c r="P459" s="2"/>
      <c r="Q459" s="2"/>
      <c r="R459" s="2"/>
      <c r="S459" s="2"/>
      <c r="T459" s="2"/>
      <c r="U459" s="2"/>
      <c r="V459" s="105"/>
    </row>
    <row r="460" spans="1:22" x14ac:dyDescent="0.25">
      <c r="A460" s="106"/>
      <c r="F460" s="105"/>
      <c r="H460" s="105"/>
      <c r="J460" s="105"/>
      <c r="K460" s="2"/>
      <c r="L460" s="105"/>
      <c r="M460" s="2"/>
      <c r="N460" s="105"/>
      <c r="O460" s="2"/>
      <c r="P460" s="2"/>
      <c r="Q460" s="2"/>
      <c r="R460" s="2"/>
      <c r="S460" s="2"/>
      <c r="T460" s="2"/>
      <c r="U460" s="2"/>
      <c r="V460" s="105"/>
    </row>
    <row r="461" spans="1:22" x14ac:dyDescent="0.25">
      <c r="A461" s="106"/>
      <c r="F461" s="105"/>
      <c r="H461" s="105"/>
      <c r="J461" s="105"/>
      <c r="K461" s="2"/>
      <c r="L461" s="105"/>
      <c r="M461" s="2"/>
      <c r="N461" s="105"/>
      <c r="O461" s="2"/>
      <c r="P461" s="2"/>
      <c r="Q461" s="2"/>
      <c r="R461" s="2"/>
      <c r="S461" s="2"/>
      <c r="T461" s="2"/>
      <c r="U461" s="2"/>
      <c r="V461" s="105"/>
    </row>
    <row r="462" spans="1:22" x14ac:dyDescent="0.25">
      <c r="A462" s="106"/>
      <c r="F462" s="105"/>
      <c r="H462" s="105"/>
      <c r="J462" s="105"/>
      <c r="K462" s="2"/>
      <c r="L462" s="105"/>
      <c r="M462" s="2"/>
      <c r="N462" s="105"/>
      <c r="O462" s="2"/>
      <c r="P462" s="2"/>
      <c r="Q462" s="2"/>
      <c r="R462" s="2"/>
      <c r="S462" s="2"/>
      <c r="T462" s="2"/>
      <c r="U462" s="2"/>
      <c r="V462" s="105"/>
    </row>
    <row r="463" spans="1:22" x14ac:dyDescent="0.25">
      <c r="A463" s="106"/>
      <c r="F463" s="105"/>
      <c r="H463" s="105"/>
      <c r="J463" s="105"/>
      <c r="K463" s="2"/>
      <c r="L463" s="105"/>
      <c r="M463" s="2"/>
      <c r="N463" s="105"/>
      <c r="O463" s="2"/>
      <c r="P463" s="2"/>
      <c r="Q463" s="2"/>
      <c r="R463" s="2"/>
      <c r="S463" s="2"/>
      <c r="T463" s="2"/>
      <c r="U463" s="2"/>
      <c r="V463" s="105"/>
    </row>
    <row r="464" spans="1:22" x14ac:dyDescent="0.25">
      <c r="A464" s="106"/>
      <c r="F464" s="105"/>
      <c r="H464" s="105"/>
      <c r="J464" s="105"/>
      <c r="K464" s="2"/>
      <c r="L464" s="105"/>
      <c r="M464" s="2"/>
      <c r="N464" s="105"/>
      <c r="O464" s="2"/>
      <c r="P464" s="2"/>
      <c r="Q464" s="2"/>
      <c r="R464" s="2"/>
      <c r="S464" s="2"/>
      <c r="T464" s="2"/>
      <c r="U464" s="2"/>
      <c r="V464" s="105"/>
    </row>
    <row r="465" spans="1:22" x14ac:dyDescent="0.25">
      <c r="A465" s="106"/>
      <c r="F465" s="105"/>
      <c r="H465" s="105"/>
      <c r="J465" s="105"/>
      <c r="K465" s="2"/>
      <c r="L465" s="105"/>
      <c r="M465" s="2"/>
      <c r="N465" s="105"/>
      <c r="O465" s="2"/>
      <c r="P465" s="2"/>
      <c r="Q465" s="2"/>
      <c r="R465" s="2"/>
      <c r="S465" s="2"/>
      <c r="T465" s="2"/>
      <c r="U465" s="2"/>
      <c r="V465" s="105"/>
    </row>
    <row r="466" spans="1:22" x14ac:dyDescent="0.25">
      <c r="A466" s="106"/>
      <c r="F466" s="105"/>
      <c r="H466" s="105"/>
      <c r="J466" s="105"/>
      <c r="K466" s="2"/>
      <c r="L466" s="105"/>
      <c r="M466" s="2"/>
      <c r="N466" s="105"/>
      <c r="O466" s="2"/>
      <c r="P466" s="2"/>
      <c r="Q466" s="2"/>
      <c r="R466" s="2"/>
      <c r="S466" s="2"/>
      <c r="T466" s="2"/>
      <c r="U466" s="2"/>
      <c r="V466" s="105"/>
    </row>
    <row r="467" spans="1:22" x14ac:dyDescent="0.25">
      <c r="A467" s="106"/>
      <c r="F467" s="105"/>
      <c r="H467" s="105"/>
      <c r="J467" s="105"/>
      <c r="K467" s="2"/>
      <c r="L467" s="105"/>
      <c r="M467" s="2"/>
      <c r="N467" s="105"/>
      <c r="O467" s="2"/>
      <c r="P467" s="2"/>
      <c r="Q467" s="2"/>
      <c r="R467" s="2"/>
      <c r="S467" s="2"/>
      <c r="T467" s="2"/>
      <c r="U467" s="2"/>
      <c r="V467" s="105"/>
    </row>
    <row r="468" spans="1:22" x14ac:dyDescent="0.25">
      <c r="A468" s="106"/>
      <c r="F468" s="105"/>
      <c r="H468" s="105"/>
      <c r="J468" s="105"/>
      <c r="K468" s="2"/>
      <c r="L468" s="105"/>
      <c r="M468" s="2"/>
      <c r="N468" s="105"/>
      <c r="O468" s="2"/>
      <c r="P468" s="2"/>
      <c r="Q468" s="2"/>
      <c r="R468" s="2"/>
      <c r="S468" s="2"/>
      <c r="T468" s="2"/>
      <c r="U468" s="2"/>
      <c r="V468" s="105"/>
    </row>
    <row r="469" spans="1:22" x14ac:dyDescent="0.25">
      <c r="A469" s="106"/>
      <c r="F469" s="105"/>
      <c r="H469" s="105"/>
      <c r="J469" s="105"/>
      <c r="K469" s="2"/>
      <c r="L469" s="105"/>
      <c r="M469" s="2"/>
      <c r="N469" s="105"/>
      <c r="O469" s="2"/>
      <c r="P469" s="2"/>
      <c r="Q469" s="2"/>
      <c r="R469" s="2"/>
      <c r="S469" s="2"/>
      <c r="T469" s="2"/>
      <c r="U469" s="2"/>
      <c r="V469" s="105"/>
    </row>
    <row r="470" spans="1:22" x14ac:dyDescent="0.25">
      <c r="A470" s="106"/>
      <c r="F470" s="105"/>
      <c r="H470" s="105"/>
      <c r="J470" s="105"/>
      <c r="K470" s="2"/>
      <c r="L470" s="105"/>
      <c r="M470" s="2"/>
      <c r="N470" s="105"/>
      <c r="O470" s="2"/>
      <c r="P470" s="2"/>
      <c r="Q470" s="2"/>
      <c r="R470" s="2"/>
      <c r="S470" s="2"/>
      <c r="T470" s="2"/>
      <c r="U470" s="2"/>
      <c r="V470" s="105"/>
    </row>
    <row r="471" spans="1:22" x14ac:dyDescent="0.25">
      <c r="A471" s="106"/>
      <c r="F471" s="105"/>
      <c r="H471" s="105"/>
      <c r="J471" s="105"/>
      <c r="K471" s="2"/>
      <c r="L471" s="105"/>
      <c r="M471" s="2"/>
      <c r="N471" s="105"/>
      <c r="O471" s="2"/>
      <c r="P471" s="2"/>
      <c r="Q471" s="2"/>
      <c r="R471" s="2"/>
      <c r="S471" s="2"/>
      <c r="T471" s="2"/>
      <c r="U471" s="2"/>
      <c r="V471" s="105"/>
    </row>
    <row r="472" spans="1:22" x14ac:dyDescent="0.25">
      <c r="A472" s="106"/>
      <c r="F472" s="105"/>
      <c r="H472" s="105"/>
      <c r="J472" s="105"/>
      <c r="K472" s="2"/>
      <c r="L472" s="105"/>
      <c r="M472" s="2"/>
      <c r="N472" s="105"/>
      <c r="O472" s="2"/>
      <c r="P472" s="2"/>
      <c r="Q472" s="2"/>
      <c r="R472" s="2"/>
      <c r="S472" s="2"/>
      <c r="T472" s="2"/>
      <c r="U472" s="2"/>
      <c r="V472" s="105"/>
    </row>
    <row r="473" spans="1:22" x14ac:dyDescent="0.25">
      <c r="A473" s="106"/>
      <c r="F473" s="105"/>
      <c r="H473" s="105"/>
      <c r="J473" s="105"/>
      <c r="K473" s="2"/>
      <c r="L473" s="105"/>
      <c r="M473" s="2"/>
      <c r="N473" s="105"/>
      <c r="O473" s="2"/>
      <c r="P473" s="2"/>
      <c r="Q473" s="2"/>
      <c r="R473" s="2"/>
      <c r="S473" s="2"/>
      <c r="T473" s="2"/>
      <c r="U473" s="2"/>
      <c r="V473" s="105"/>
    </row>
    <row r="474" spans="1:22" x14ac:dyDescent="0.25">
      <c r="A474" s="106"/>
      <c r="F474" s="105"/>
      <c r="H474" s="105"/>
      <c r="J474" s="105"/>
      <c r="K474" s="2"/>
      <c r="L474" s="105"/>
      <c r="M474" s="2"/>
      <c r="N474" s="105"/>
      <c r="O474" s="2"/>
      <c r="P474" s="2"/>
      <c r="Q474" s="2"/>
      <c r="R474" s="2"/>
      <c r="S474" s="2"/>
      <c r="T474" s="2"/>
      <c r="U474" s="2"/>
      <c r="V474" s="105"/>
    </row>
    <row r="475" spans="1:22" x14ac:dyDescent="0.25">
      <c r="A475" s="106"/>
      <c r="F475" s="105"/>
      <c r="H475" s="105"/>
      <c r="J475" s="105"/>
      <c r="K475" s="2"/>
      <c r="L475" s="105"/>
      <c r="M475" s="2"/>
      <c r="N475" s="105"/>
      <c r="O475" s="2"/>
      <c r="P475" s="2"/>
      <c r="Q475" s="2"/>
      <c r="R475" s="2"/>
      <c r="S475" s="2"/>
      <c r="T475" s="2"/>
      <c r="U475" s="2"/>
      <c r="V475" s="105"/>
    </row>
    <row r="476" spans="1:22" x14ac:dyDescent="0.25">
      <c r="A476" s="106"/>
      <c r="F476" s="105"/>
      <c r="H476" s="105"/>
      <c r="J476" s="105"/>
      <c r="K476" s="2"/>
      <c r="L476" s="105"/>
      <c r="M476" s="2"/>
      <c r="N476" s="105"/>
      <c r="O476" s="2"/>
      <c r="P476" s="2"/>
      <c r="Q476" s="2"/>
      <c r="R476" s="2"/>
      <c r="S476" s="2"/>
      <c r="T476" s="2"/>
      <c r="U476" s="2"/>
      <c r="V476" s="105"/>
    </row>
    <row r="477" spans="1:22" x14ac:dyDescent="0.25">
      <c r="A477" s="106"/>
      <c r="F477" s="105"/>
      <c r="H477" s="105"/>
      <c r="J477" s="105"/>
      <c r="K477" s="2"/>
      <c r="L477" s="105"/>
      <c r="M477" s="2"/>
      <c r="N477" s="105"/>
      <c r="O477" s="2"/>
      <c r="P477" s="2"/>
      <c r="Q477" s="2"/>
      <c r="R477" s="2"/>
      <c r="S477" s="2"/>
      <c r="T477" s="2"/>
      <c r="U477" s="2"/>
      <c r="V477" s="105"/>
    </row>
    <row r="478" spans="1:22" x14ac:dyDescent="0.25">
      <c r="A478" s="106"/>
      <c r="F478" s="105"/>
      <c r="H478" s="105"/>
      <c r="J478" s="105"/>
      <c r="K478" s="2"/>
      <c r="L478" s="105"/>
      <c r="M478" s="2"/>
      <c r="N478" s="105"/>
      <c r="O478" s="2"/>
      <c r="P478" s="2"/>
      <c r="Q478" s="2"/>
      <c r="R478" s="2"/>
      <c r="S478" s="2"/>
      <c r="T478" s="2"/>
      <c r="U478" s="2"/>
      <c r="V478" s="105"/>
    </row>
    <row r="479" spans="1:22" x14ac:dyDescent="0.25">
      <c r="A479" s="106"/>
      <c r="F479" s="105"/>
      <c r="H479" s="105"/>
      <c r="J479" s="105"/>
      <c r="K479" s="2"/>
      <c r="L479" s="105"/>
      <c r="M479" s="2"/>
      <c r="N479" s="105"/>
      <c r="O479" s="2"/>
      <c r="P479" s="2"/>
      <c r="Q479" s="2"/>
      <c r="R479" s="2"/>
      <c r="S479" s="2"/>
      <c r="T479" s="2"/>
      <c r="U479" s="2"/>
      <c r="V479" s="105"/>
    </row>
    <row r="480" spans="1:22" x14ac:dyDescent="0.25">
      <c r="A480" s="106"/>
      <c r="F480" s="105"/>
      <c r="H480" s="105"/>
      <c r="J480" s="105"/>
      <c r="K480" s="2"/>
      <c r="L480" s="105"/>
      <c r="M480" s="2"/>
      <c r="N480" s="105"/>
      <c r="O480" s="2"/>
      <c r="P480" s="2"/>
      <c r="Q480" s="2"/>
      <c r="R480" s="2"/>
      <c r="S480" s="2"/>
      <c r="T480" s="2"/>
      <c r="U480" s="2"/>
      <c r="V480" s="105"/>
    </row>
    <row r="481" spans="1:22" x14ac:dyDescent="0.25">
      <c r="A481" s="106"/>
      <c r="F481" s="105"/>
      <c r="H481" s="105"/>
      <c r="J481" s="105"/>
      <c r="K481" s="2"/>
      <c r="L481" s="105"/>
      <c r="M481" s="2"/>
      <c r="N481" s="105"/>
      <c r="O481" s="2"/>
      <c r="P481" s="2"/>
      <c r="Q481" s="2"/>
      <c r="R481" s="2"/>
      <c r="S481" s="2"/>
      <c r="T481" s="2"/>
      <c r="U481" s="2"/>
      <c r="V481" s="105"/>
    </row>
    <row r="482" spans="1:22" x14ac:dyDescent="0.25">
      <c r="A482" s="106"/>
      <c r="F482" s="105"/>
      <c r="H482" s="105"/>
      <c r="J482" s="105"/>
      <c r="K482" s="2"/>
      <c r="L482" s="105"/>
      <c r="M482" s="2"/>
      <c r="N482" s="105"/>
      <c r="O482" s="2"/>
      <c r="P482" s="2"/>
      <c r="Q482" s="2"/>
      <c r="R482" s="2"/>
      <c r="S482" s="2"/>
      <c r="T482" s="2"/>
      <c r="U482" s="2"/>
      <c r="V482" s="105"/>
    </row>
    <row r="483" spans="1:22" x14ac:dyDescent="0.25">
      <c r="A483" s="106"/>
      <c r="F483" s="105"/>
      <c r="H483" s="105"/>
      <c r="J483" s="105"/>
      <c r="K483" s="2"/>
      <c r="L483" s="105"/>
      <c r="M483" s="2"/>
      <c r="N483" s="105"/>
      <c r="O483" s="2"/>
      <c r="P483" s="2"/>
      <c r="Q483" s="2"/>
      <c r="R483" s="2"/>
      <c r="S483" s="2"/>
      <c r="T483" s="2"/>
      <c r="U483" s="2"/>
      <c r="V483" s="105"/>
    </row>
    <row r="484" spans="1:22" x14ac:dyDescent="0.25">
      <c r="A484" s="106"/>
      <c r="F484" s="105"/>
      <c r="H484" s="105"/>
      <c r="J484" s="105"/>
      <c r="K484" s="2"/>
      <c r="L484" s="105"/>
      <c r="M484" s="2"/>
      <c r="N484" s="105"/>
      <c r="O484" s="2"/>
      <c r="P484" s="2"/>
      <c r="Q484" s="2"/>
      <c r="R484" s="2"/>
      <c r="S484" s="2"/>
      <c r="T484" s="2"/>
      <c r="U484" s="2"/>
      <c r="V484" s="105"/>
    </row>
    <row r="485" spans="1:22" x14ac:dyDescent="0.25">
      <c r="A485" s="106"/>
      <c r="F485" s="105"/>
      <c r="H485" s="105"/>
      <c r="J485" s="105"/>
      <c r="K485" s="2"/>
      <c r="L485" s="105"/>
      <c r="M485" s="2"/>
      <c r="N485" s="105"/>
      <c r="O485" s="2"/>
      <c r="P485" s="2"/>
      <c r="Q485" s="2"/>
      <c r="R485" s="2"/>
      <c r="S485" s="2"/>
      <c r="T485" s="2"/>
      <c r="U485" s="2"/>
      <c r="V485" s="105"/>
    </row>
    <row r="486" spans="1:22" x14ac:dyDescent="0.25">
      <c r="A486" s="106"/>
      <c r="F486" s="105"/>
      <c r="H486" s="105"/>
      <c r="J486" s="105"/>
      <c r="K486" s="2"/>
      <c r="L486" s="105"/>
      <c r="M486" s="2"/>
      <c r="N486" s="105"/>
      <c r="O486" s="2"/>
      <c r="P486" s="2"/>
      <c r="Q486" s="2"/>
      <c r="R486" s="2"/>
      <c r="S486" s="2"/>
      <c r="T486" s="2"/>
      <c r="U486" s="2"/>
      <c r="V486" s="105"/>
    </row>
    <row r="487" spans="1:22" x14ac:dyDescent="0.25">
      <c r="A487" s="106"/>
      <c r="F487" s="105"/>
      <c r="H487" s="105"/>
      <c r="J487" s="105"/>
      <c r="K487" s="2"/>
      <c r="L487" s="105"/>
      <c r="M487" s="2"/>
      <c r="N487" s="105"/>
      <c r="O487" s="2"/>
      <c r="P487" s="2"/>
      <c r="Q487" s="2"/>
      <c r="R487" s="2"/>
      <c r="S487" s="2"/>
      <c r="T487" s="2"/>
      <c r="U487" s="2"/>
      <c r="V487" s="105"/>
    </row>
    <row r="488" spans="1:22" x14ac:dyDescent="0.25">
      <c r="A488" s="106"/>
      <c r="F488" s="105"/>
      <c r="H488" s="105"/>
      <c r="J488" s="105"/>
      <c r="K488" s="2"/>
      <c r="L488" s="105"/>
      <c r="M488" s="2"/>
      <c r="N488" s="105"/>
      <c r="O488" s="2"/>
      <c r="P488" s="2"/>
      <c r="Q488" s="2"/>
      <c r="R488" s="2"/>
      <c r="S488" s="2"/>
      <c r="T488" s="2"/>
      <c r="U488" s="2"/>
      <c r="V488" s="105"/>
    </row>
    <row r="489" spans="1:22" x14ac:dyDescent="0.25">
      <c r="A489" s="106"/>
      <c r="F489" s="105"/>
      <c r="H489" s="105"/>
      <c r="J489" s="105"/>
      <c r="K489" s="2"/>
      <c r="L489" s="105"/>
      <c r="M489" s="2"/>
      <c r="N489" s="105"/>
      <c r="O489" s="2"/>
      <c r="P489" s="2"/>
      <c r="Q489" s="2"/>
      <c r="R489" s="2"/>
      <c r="S489" s="2"/>
      <c r="T489" s="2"/>
      <c r="U489" s="2"/>
      <c r="V489" s="105"/>
    </row>
    <row r="490" spans="1:22" x14ac:dyDescent="0.25">
      <c r="A490" s="106"/>
      <c r="F490" s="105"/>
      <c r="H490" s="105"/>
      <c r="J490" s="105"/>
      <c r="K490" s="2"/>
      <c r="L490" s="105"/>
      <c r="M490" s="2"/>
      <c r="N490" s="105"/>
      <c r="O490" s="2"/>
      <c r="P490" s="2"/>
      <c r="Q490" s="2"/>
      <c r="R490" s="2"/>
      <c r="S490" s="2"/>
      <c r="T490" s="2"/>
      <c r="U490" s="2"/>
      <c r="V490" s="105"/>
    </row>
    <row r="491" spans="1:22" x14ac:dyDescent="0.25">
      <c r="A491" s="106"/>
      <c r="F491" s="105"/>
      <c r="H491" s="105"/>
      <c r="J491" s="105"/>
      <c r="K491" s="2"/>
      <c r="L491" s="105"/>
      <c r="M491" s="2"/>
      <c r="N491" s="105"/>
      <c r="O491" s="2"/>
      <c r="P491" s="2"/>
      <c r="Q491" s="2"/>
      <c r="R491" s="2"/>
      <c r="S491" s="2"/>
      <c r="T491" s="2"/>
      <c r="U491" s="2"/>
      <c r="V491" s="105"/>
    </row>
    <row r="492" spans="1:22" x14ac:dyDescent="0.25">
      <c r="A492" s="106"/>
      <c r="F492" s="105"/>
      <c r="H492" s="105"/>
      <c r="J492" s="105"/>
      <c r="K492" s="2"/>
      <c r="L492" s="105"/>
      <c r="M492" s="2"/>
      <c r="N492" s="105"/>
      <c r="O492" s="2"/>
      <c r="P492" s="2"/>
      <c r="Q492" s="2"/>
      <c r="R492" s="2"/>
      <c r="S492" s="2"/>
      <c r="T492" s="2"/>
      <c r="U492" s="2"/>
      <c r="V492" s="105"/>
    </row>
    <row r="493" spans="1:22" x14ac:dyDescent="0.25">
      <c r="A493" s="106"/>
      <c r="F493" s="105"/>
      <c r="H493" s="105"/>
      <c r="J493" s="105"/>
      <c r="K493" s="2"/>
      <c r="L493" s="105"/>
      <c r="M493" s="2"/>
      <c r="N493" s="105"/>
      <c r="O493" s="2"/>
      <c r="P493" s="2"/>
      <c r="Q493" s="2"/>
      <c r="R493" s="2"/>
      <c r="S493" s="2"/>
      <c r="T493" s="2"/>
      <c r="U493" s="2"/>
      <c r="V493" s="105"/>
    </row>
    <row r="494" spans="1:22" x14ac:dyDescent="0.25">
      <c r="A494" s="106"/>
      <c r="F494" s="105"/>
      <c r="H494" s="105"/>
      <c r="J494" s="105"/>
      <c r="K494" s="2"/>
      <c r="L494" s="105"/>
      <c r="M494" s="2"/>
      <c r="N494" s="105"/>
      <c r="O494" s="2"/>
      <c r="P494" s="2"/>
      <c r="Q494" s="2"/>
      <c r="R494" s="2"/>
      <c r="S494" s="2"/>
      <c r="T494" s="2"/>
      <c r="U494" s="2"/>
      <c r="V494" s="105"/>
    </row>
    <row r="495" spans="1:22" x14ac:dyDescent="0.25">
      <c r="A495" s="106"/>
      <c r="F495" s="105"/>
      <c r="H495" s="105"/>
      <c r="J495" s="105"/>
      <c r="K495" s="2"/>
      <c r="L495" s="105"/>
      <c r="M495" s="2"/>
      <c r="N495" s="105"/>
      <c r="O495" s="2"/>
      <c r="P495" s="2"/>
      <c r="Q495" s="2"/>
      <c r="R495" s="2"/>
      <c r="S495" s="2"/>
      <c r="T495" s="2"/>
      <c r="U495" s="2"/>
      <c r="V495" s="105"/>
    </row>
    <row r="496" spans="1:22" x14ac:dyDescent="0.25">
      <c r="A496" s="106"/>
      <c r="F496" s="105"/>
      <c r="H496" s="105"/>
      <c r="J496" s="105"/>
      <c r="K496" s="2"/>
      <c r="L496" s="105"/>
      <c r="M496" s="2"/>
      <c r="N496" s="105"/>
      <c r="O496" s="2"/>
      <c r="P496" s="2"/>
      <c r="Q496" s="2"/>
      <c r="R496" s="2"/>
      <c r="S496" s="2"/>
      <c r="T496" s="2"/>
      <c r="U496" s="2"/>
      <c r="V496" s="105"/>
    </row>
    <row r="497" spans="1:22" x14ac:dyDescent="0.25">
      <c r="A497" s="106"/>
      <c r="F497" s="105"/>
      <c r="H497" s="105"/>
      <c r="J497" s="105"/>
      <c r="K497" s="2"/>
      <c r="L497" s="105"/>
      <c r="M497" s="2"/>
      <c r="N497" s="105"/>
      <c r="O497" s="2"/>
      <c r="P497" s="2"/>
      <c r="Q497" s="2"/>
      <c r="R497" s="2"/>
      <c r="S497" s="2"/>
      <c r="T497" s="2"/>
      <c r="U497" s="2"/>
      <c r="V497" s="105"/>
    </row>
    <row r="498" spans="1:22" x14ac:dyDescent="0.25">
      <c r="A498" s="106"/>
      <c r="F498" s="105"/>
      <c r="H498" s="105"/>
      <c r="J498" s="105"/>
      <c r="K498" s="2"/>
      <c r="L498" s="105"/>
      <c r="M498" s="2"/>
      <c r="N498" s="105"/>
      <c r="O498" s="2"/>
      <c r="P498" s="2"/>
      <c r="Q498" s="2"/>
      <c r="R498" s="2"/>
      <c r="S498" s="2"/>
      <c r="T498" s="2"/>
      <c r="U498" s="2"/>
      <c r="V498" s="105"/>
    </row>
    <row r="499" spans="1:22" x14ac:dyDescent="0.25">
      <c r="A499" s="106"/>
      <c r="F499" s="105"/>
      <c r="H499" s="105"/>
      <c r="J499" s="105"/>
      <c r="K499" s="2"/>
      <c r="L499" s="105"/>
      <c r="M499" s="2"/>
      <c r="N499" s="105"/>
      <c r="O499" s="2"/>
      <c r="P499" s="2"/>
      <c r="Q499" s="2"/>
      <c r="R499" s="2"/>
      <c r="S499" s="2"/>
      <c r="T499" s="2"/>
      <c r="U499" s="2"/>
      <c r="V499" s="105"/>
    </row>
    <row r="500" spans="1:22" x14ac:dyDescent="0.25">
      <c r="A500" s="106"/>
      <c r="F500" s="105"/>
      <c r="H500" s="105"/>
      <c r="J500" s="105"/>
      <c r="K500" s="2"/>
      <c r="L500" s="105"/>
      <c r="M500" s="2"/>
      <c r="N500" s="105"/>
      <c r="O500" s="2"/>
      <c r="P500" s="2"/>
      <c r="Q500" s="2"/>
      <c r="R500" s="2"/>
      <c r="S500" s="2"/>
      <c r="T500" s="2"/>
      <c r="U500" s="2"/>
      <c r="V500" s="105"/>
    </row>
    <row r="501" spans="1:22" x14ac:dyDescent="0.25">
      <c r="A501" s="106"/>
      <c r="F501" s="105"/>
      <c r="H501" s="105"/>
      <c r="J501" s="105"/>
      <c r="K501" s="2"/>
      <c r="L501" s="105"/>
      <c r="M501" s="2"/>
      <c r="N501" s="105"/>
      <c r="O501" s="2"/>
      <c r="P501" s="2"/>
      <c r="Q501" s="2"/>
      <c r="R501" s="2"/>
      <c r="S501" s="2"/>
      <c r="T501" s="2"/>
      <c r="U501" s="2"/>
      <c r="V501" s="105"/>
    </row>
    <row r="502" spans="1:22" x14ac:dyDescent="0.25">
      <c r="A502" s="106"/>
      <c r="F502" s="105"/>
      <c r="H502" s="105"/>
      <c r="J502" s="105"/>
      <c r="K502" s="2"/>
      <c r="L502" s="105"/>
      <c r="M502" s="2"/>
      <c r="N502" s="105"/>
      <c r="O502" s="2"/>
      <c r="P502" s="2"/>
      <c r="Q502" s="2"/>
      <c r="R502" s="2"/>
      <c r="S502" s="2"/>
      <c r="T502" s="2"/>
      <c r="U502" s="2"/>
      <c r="V502" s="105"/>
    </row>
    <row r="503" spans="1:22" x14ac:dyDescent="0.25">
      <c r="A503" s="106"/>
      <c r="F503" s="105"/>
      <c r="H503" s="105"/>
      <c r="J503" s="105"/>
      <c r="K503" s="2"/>
      <c r="L503" s="105"/>
      <c r="M503" s="2"/>
      <c r="N503" s="105"/>
      <c r="O503" s="2"/>
      <c r="P503" s="2"/>
      <c r="Q503" s="2"/>
      <c r="R503" s="2"/>
      <c r="S503" s="2"/>
      <c r="T503" s="2"/>
      <c r="U503" s="2"/>
      <c r="V503" s="105"/>
    </row>
    <row r="504" spans="1:22" x14ac:dyDescent="0.25">
      <c r="A504" s="106"/>
      <c r="F504" s="105"/>
      <c r="H504" s="105"/>
      <c r="J504" s="105"/>
      <c r="K504" s="2"/>
      <c r="L504" s="105"/>
      <c r="M504" s="2"/>
      <c r="N504" s="105"/>
      <c r="O504" s="2"/>
      <c r="P504" s="2"/>
      <c r="Q504" s="2"/>
      <c r="R504" s="2"/>
      <c r="S504" s="2"/>
      <c r="T504" s="2"/>
      <c r="U504" s="2"/>
      <c r="V504" s="105"/>
    </row>
    <row r="505" spans="1:22" x14ac:dyDescent="0.25">
      <c r="A505" s="106"/>
      <c r="F505" s="105"/>
      <c r="H505" s="105"/>
      <c r="J505" s="105"/>
      <c r="K505" s="2"/>
      <c r="L505" s="105"/>
      <c r="M505" s="2"/>
      <c r="N505" s="105"/>
      <c r="O505" s="2"/>
      <c r="P505" s="2"/>
      <c r="Q505" s="2"/>
      <c r="R505" s="2"/>
      <c r="S505" s="2"/>
      <c r="T505" s="2"/>
      <c r="U505" s="2"/>
      <c r="V505" s="105"/>
    </row>
    <row r="506" spans="1:22" x14ac:dyDescent="0.25">
      <c r="A506" s="106"/>
      <c r="F506" s="105"/>
      <c r="H506" s="105"/>
      <c r="J506" s="105"/>
      <c r="K506" s="2"/>
      <c r="L506" s="105"/>
      <c r="M506" s="2"/>
      <c r="N506" s="105"/>
      <c r="O506" s="2"/>
      <c r="P506" s="2"/>
      <c r="Q506" s="2"/>
      <c r="R506" s="2"/>
      <c r="S506" s="2"/>
      <c r="T506" s="2"/>
      <c r="U506" s="2"/>
      <c r="V506" s="105"/>
    </row>
    <row r="507" spans="1:22" x14ac:dyDescent="0.25">
      <c r="A507" s="106"/>
      <c r="F507" s="105"/>
      <c r="H507" s="105"/>
      <c r="J507" s="105"/>
      <c r="K507" s="2"/>
      <c r="L507" s="105"/>
      <c r="M507" s="2"/>
      <c r="N507" s="105"/>
      <c r="O507" s="2"/>
      <c r="P507" s="2"/>
      <c r="Q507" s="2"/>
      <c r="R507" s="2"/>
      <c r="S507" s="2"/>
      <c r="T507" s="2"/>
      <c r="U507" s="2"/>
      <c r="V507" s="105"/>
    </row>
    <row r="508" spans="1:22" x14ac:dyDescent="0.25">
      <c r="A508" s="106"/>
      <c r="F508" s="105"/>
      <c r="H508" s="105"/>
      <c r="J508" s="105"/>
      <c r="K508" s="2"/>
      <c r="L508" s="105"/>
      <c r="M508" s="2"/>
      <c r="N508" s="105"/>
      <c r="O508" s="2"/>
      <c r="P508" s="2"/>
      <c r="Q508" s="2"/>
      <c r="R508" s="2"/>
      <c r="S508" s="2"/>
      <c r="T508" s="2"/>
      <c r="U508" s="2"/>
      <c r="V508" s="105"/>
    </row>
    <row r="509" spans="1:22" x14ac:dyDescent="0.25">
      <c r="A509" s="106"/>
      <c r="F509" s="105"/>
      <c r="H509" s="105"/>
      <c r="J509" s="105"/>
      <c r="K509" s="2"/>
      <c r="L509" s="105"/>
      <c r="M509" s="2"/>
      <c r="N509" s="105"/>
      <c r="O509" s="2"/>
      <c r="P509" s="2"/>
      <c r="Q509" s="2"/>
      <c r="R509" s="2"/>
      <c r="S509" s="2"/>
      <c r="T509" s="2"/>
      <c r="U509" s="2"/>
      <c r="V509" s="105"/>
    </row>
    <row r="510" spans="1:22" x14ac:dyDescent="0.25">
      <c r="A510" s="106"/>
      <c r="F510" s="105"/>
      <c r="H510" s="105"/>
      <c r="J510" s="105"/>
      <c r="K510" s="2"/>
      <c r="L510" s="105"/>
      <c r="M510" s="2"/>
      <c r="N510" s="105"/>
      <c r="O510" s="2"/>
      <c r="P510" s="2"/>
      <c r="Q510" s="2"/>
      <c r="R510" s="2"/>
      <c r="S510" s="2"/>
      <c r="T510" s="2"/>
      <c r="U510" s="2"/>
      <c r="V510" s="105"/>
    </row>
    <row r="511" spans="1:22" x14ac:dyDescent="0.25">
      <c r="A511" s="106"/>
      <c r="F511" s="105"/>
      <c r="H511" s="105"/>
      <c r="J511" s="105"/>
      <c r="K511" s="2"/>
      <c r="L511" s="105"/>
      <c r="M511" s="2"/>
      <c r="N511" s="105"/>
      <c r="O511" s="2"/>
      <c r="P511" s="2"/>
      <c r="Q511" s="2"/>
      <c r="R511" s="2"/>
      <c r="S511" s="2"/>
      <c r="T511" s="2"/>
      <c r="U511" s="2"/>
      <c r="V511" s="105"/>
    </row>
    <row r="512" spans="1:22" x14ac:dyDescent="0.25">
      <c r="A512" s="106"/>
      <c r="F512" s="105"/>
      <c r="H512" s="105"/>
      <c r="J512" s="105"/>
      <c r="K512" s="2"/>
      <c r="L512" s="105"/>
      <c r="M512" s="2"/>
      <c r="N512" s="105"/>
      <c r="O512" s="2"/>
      <c r="P512" s="2"/>
      <c r="Q512" s="2"/>
      <c r="R512" s="2"/>
      <c r="S512" s="2"/>
      <c r="T512" s="2"/>
      <c r="U512" s="2"/>
      <c r="V512" s="105"/>
    </row>
    <row r="513" spans="1:22" x14ac:dyDescent="0.25">
      <c r="A513" s="106"/>
      <c r="F513" s="105"/>
      <c r="H513" s="105"/>
      <c r="J513" s="105"/>
      <c r="K513" s="2"/>
      <c r="L513" s="105"/>
      <c r="M513" s="2"/>
      <c r="N513" s="105"/>
      <c r="O513" s="2"/>
      <c r="P513" s="2"/>
      <c r="Q513" s="2"/>
      <c r="R513" s="2"/>
      <c r="S513" s="2"/>
      <c r="T513" s="2"/>
      <c r="U513" s="2"/>
      <c r="V513" s="105"/>
    </row>
    <row r="514" spans="1:22" x14ac:dyDescent="0.25">
      <c r="A514" s="106"/>
      <c r="F514" s="105"/>
      <c r="H514" s="105"/>
      <c r="J514" s="105"/>
      <c r="K514" s="2"/>
      <c r="L514" s="105"/>
      <c r="M514" s="2"/>
      <c r="N514" s="105"/>
      <c r="O514" s="2"/>
      <c r="P514" s="2"/>
      <c r="Q514" s="2"/>
      <c r="R514" s="2"/>
      <c r="S514" s="2"/>
      <c r="T514" s="2"/>
      <c r="U514" s="2"/>
      <c r="V514" s="105"/>
    </row>
    <row r="515" spans="1:22" x14ac:dyDescent="0.25">
      <c r="A515" s="106"/>
      <c r="F515" s="105"/>
      <c r="H515" s="105"/>
      <c r="J515" s="105"/>
      <c r="K515" s="2"/>
      <c r="L515" s="105"/>
      <c r="M515" s="2"/>
      <c r="N515" s="105"/>
      <c r="O515" s="2"/>
      <c r="P515" s="2"/>
      <c r="Q515" s="2"/>
      <c r="R515" s="2"/>
      <c r="S515" s="2"/>
      <c r="T515" s="2"/>
      <c r="U515" s="2"/>
      <c r="V515" s="105"/>
    </row>
    <row r="516" spans="1:22" x14ac:dyDescent="0.25">
      <c r="A516" s="106"/>
      <c r="F516" s="105"/>
      <c r="H516" s="105"/>
      <c r="J516" s="105"/>
      <c r="K516" s="2"/>
      <c r="L516" s="105"/>
      <c r="M516" s="2"/>
      <c r="N516" s="105"/>
      <c r="O516" s="2"/>
      <c r="P516" s="2"/>
      <c r="Q516" s="2"/>
      <c r="R516" s="2"/>
      <c r="S516" s="2"/>
      <c r="T516" s="2"/>
      <c r="U516" s="2"/>
      <c r="V516" s="105"/>
    </row>
    <row r="517" spans="1:22" x14ac:dyDescent="0.25">
      <c r="A517" s="106"/>
      <c r="F517" s="105"/>
      <c r="H517" s="105"/>
      <c r="J517" s="105"/>
      <c r="K517" s="2"/>
      <c r="L517" s="105"/>
      <c r="M517" s="2"/>
      <c r="N517" s="105"/>
      <c r="O517" s="2"/>
      <c r="P517" s="2"/>
      <c r="Q517" s="2"/>
      <c r="R517" s="2"/>
      <c r="S517" s="2"/>
      <c r="T517" s="2"/>
      <c r="U517" s="2"/>
      <c r="V517" s="105"/>
    </row>
    <row r="518" spans="1:22" x14ac:dyDescent="0.25">
      <c r="A518" s="106"/>
      <c r="F518" s="105"/>
      <c r="H518" s="105"/>
      <c r="J518" s="105"/>
      <c r="K518" s="2"/>
      <c r="L518" s="105"/>
      <c r="M518" s="2"/>
      <c r="N518" s="105"/>
      <c r="O518" s="2"/>
      <c r="P518" s="2"/>
      <c r="Q518" s="2"/>
      <c r="R518" s="2"/>
      <c r="S518" s="2"/>
      <c r="T518" s="2"/>
      <c r="U518" s="2"/>
      <c r="V518" s="105"/>
    </row>
    <row r="519" spans="1:22" x14ac:dyDescent="0.25">
      <c r="A519" s="106"/>
      <c r="F519" s="105"/>
      <c r="H519" s="105"/>
      <c r="J519" s="105"/>
      <c r="K519" s="2"/>
      <c r="L519" s="105"/>
      <c r="M519" s="2"/>
      <c r="N519" s="105"/>
      <c r="O519" s="2"/>
      <c r="P519" s="2"/>
      <c r="Q519" s="2"/>
      <c r="R519" s="2"/>
      <c r="S519" s="2"/>
      <c r="T519" s="2"/>
      <c r="U519" s="2"/>
      <c r="V519" s="105"/>
    </row>
    <row r="520" spans="1:22" x14ac:dyDescent="0.25">
      <c r="A520" s="106"/>
      <c r="F520" s="105"/>
      <c r="H520" s="105"/>
      <c r="J520" s="105"/>
      <c r="K520" s="2"/>
      <c r="L520" s="105"/>
      <c r="M520" s="2"/>
      <c r="N520" s="105"/>
      <c r="O520" s="2"/>
      <c r="P520" s="2"/>
      <c r="Q520" s="2"/>
      <c r="R520" s="2"/>
      <c r="S520" s="2"/>
      <c r="T520" s="2"/>
      <c r="U520" s="2"/>
      <c r="V520" s="105"/>
    </row>
    <row r="521" spans="1:22" x14ac:dyDescent="0.25">
      <c r="A521" s="106"/>
      <c r="F521" s="105"/>
      <c r="H521" s="105"/>
      <c r="J521" s="105"/>
      <c r="K521" s="2"/>
      <c r="L521" s="105"/>
      <c r="M521" s="2"/>
      <c r="N521" s="105"/>
      <c r="O521" s="2"/>
      <c r="P521" s="2"/>
      <c r="Q521" s="2"/>
      <c r="R521" s="2"/>
      <c r="S521" s="2"/>
      <c r="T521" s="2"/>
      <c r="U521" s="2"/>
      <c r="V521" s="105"/>
    </row>
    <row r="522" spans="1:22" x14ac:dyDescent="0.25">
      <c r="A522" s="106"/>
      <c r="F522" s="105"/>
      <c r="H522" s="105"/>
      <c r="J522" s="105"/>
      <c r="K522" s="2"/>
      <c r="L522" s="105"/>
      <c r="M522" s="2"/>
      <c r="N522" s="105"/>
      <c r="O522" s="2"/>
      <c r="P522" s="2"/>
      <c r="Q522" s="2"/>
      <c r="R522" s="2"/>
      <c r="S522" s="2"/>
      <c r="T522" s="2"/>
      <c r="U522" s="2"/>
      <c r="V522" s="105"/>
    </row>
    <row r="523" spans="1:22" x14ac:dyDescent="0.25">
      <c r="A523" s="106"/>
      <c r="F523" s="105"/>
      <c r="H523" s="105"/>
      <c r="J523" s="105"/>
      <c r="K523" s="2"/>
      <c r="L523" s="105"/>
      <c r="M523" s="2"/>
      <c r="N523" s="105"/>
      <c r="O523" s="2"/>
      <c r="P523" s="2"/>
      <c r="Q523" s="2"/>
      <c r="R523" s="2"/>
      <c r="S523" s="2"/>
      <c r="T523" s="2"/>
      <c r="U523" s="2"/>
      <c r="V523" s="105"/>
    </row>
    <row r="524" spans="1:22" x14ac:dyDescent="0.25">
      <c r="A524" s="106"/>
      <c r="F524" s="105"/>
      <c r="H524" s="105"/>
      <c r="J524" s="105"/>
      <c r="K524" s="2"/>
      <c r="L524" s="105"/>
      <c r="M524" s="2"/>
      <c r="N524" s="105"/>
      <c r="O524" s="2"/>
      <c r="P524" s="2"/>
      <c r="Q524" s="2"/>
      <c r="R524" s="2"/>
      <c r="S524" s="2"/>
      <c r="T524" s="2"/>
      <c r="U524" s="2"/>
      <c r="V524" s="105"/>
    </row>
    <row r="525" spans="1:22" x14ac:dyDescent="0.25">
      <c r="A525" s="106"/>
      <c r="F525" s="105"/>
      <c r="H525" s="105"/>
      <c r="J525" s="105"/>
      <c r="K525" s="2"/>
      <c r="L525" s="105"/>
      <c r="M525" s="2"/>
      <c r="N525" s="105"/>
      <c r="O525" s="2"/>
      <c r="P525" s="2"/>
      <c r="Q525" s="2"/>
      <c r="R525" s="2"/>
      <c r="S525" s="2"/>
      <c r="T525" s="2"/>
      <c r="U525" s="2"/>
      <c r="V525" s="105"/>
    </row>
    <row r="526" spans="1:22" x14ac:dyDescent="0.25">
      <c r="A526" s="106"/>
      <c r="F526" s="105"/>
      <c r="H526" s="105"/>
      <c r="J526" s="105"/>
      <c r="K526" s="2"/>
      <c r="L526" s="105"/>
      <c r="M526" s="2"/>
      <c r="N526" s="105"/>
      <c r="O526" s="2"/>
      <c r="P526" s="2"/>
      <c r="Q526" s="2"/>
      <c r="R526" s="2"/>
      <c r="S526" s="2"/>
      <c r="T526" s="2"/>
      <c r="U526" s="2"/>
      <c r="V526" s="105"/>
    </row>
    <row r="527" spans="1:22" x14ac:dyDescent="0.25">
      <c r="A527" s="106"/>
      <c r="F527" s="105"/>
      <c r="H527" s="105"/>
      <c r="J527" s="105"/>
      <c r="K527" s="2"/>
      <c r="L527" s="105"/>
      <c r="M527" s="2"/>
      <c r="N527" s="105"/>
      <c r="O527" s="2"/>
      <c r="P527" s="2"/>
      <c r="Q527" s="2"/>
      <c r="R527" s="2"/>
      <c r="S527" s="2"/>
      <c r="T527" s="2"/>
      <c r="U527" s="2"/>
      <c r="V527" s="105"/>
    </row>
    <row r="528" spans="1:22" x14ac:dyDescent="0.25">
      <c r="A528" s="106"/>
      <c r="F528" s="105"/>
      <c r="H528" s="105"/>
      <c r="J528" s="105"/>
      <c r="K528" s="2"/>
      <c r="L528" s="105"/>
      <c r="M528" s="2"/>
      <c r="N528" s="105"/>
      <c r="O528" s="2"/>
      <c r="P528" s="2"/>
      <c r="Q528" s="2"/>
      <c r="R528" s="2"/>
      <c r="S528" s="2"/>
      <c r="T528" s="2"/>
      <c r="U528" s="2"/>
      <c r="V528" s="105"/>
    </row>
    <row r="529" spans="1:22" x14ac:dyDescent="0.25">
      <c r="A529" s="106"/>
      <c r="F529" s="105"/>
      <c r="H529" s="105"/>
      <c r="J529" s="105"/>
      <c r="K529" s="2"/>
      <c r="L529" s="105"/>
      <c r="M529" s="2"/>
      <c r="N529" s="105"/>
      <c r="O529" s="2"/>
      <c r="P529" s="2"/>
      <c r="Q529" s="2"/>
      <c r="R529" s="2"/>
      <c r="S529" s="2"/>
      <c r="T529" s="2"/>
      <c r="U529" s="2"/>
      <c r="V529" s="105"/>
    </row>
    <row r="530" spans="1:22" x14ac:dyDescent="0.25">
      <c r="A530" s="106"/>
      <c r="F530" s="105"/>
      <c r="H530" s="105"/>
      <c r="J530" s="105"/>
      <c r="K530" s="2"/>
      <c r="L530" s="105"/>
      <c r="M530" s="2"/>
      <c r="N530" s="105"/>
      <c r="O530" s="2"/>
      <c r="P530" s="2"/>
      <c r="Q530" s="2"/>
      <c r="R530" s="2"/>
      <c r="S530" s="2"/>
      <c r="T530" s="2"/>
      <c r="U530" s="2"/>
      <c r="V530" s="105"/>
    </row>
    <row r="531" spans="1:22" x14ac:dyDescent="0.25">
      <c r="A531" s="106"/>
      <c r="F531" s="105"/>
      <c r="H531" s="105"/>
      <c r="J531" s="105"/>
      <c r="K531" s="2"/>
      <c r="L531" s="105"/>
      <c r="M531" s="2"/>
      <c r="N531" s="105"/>
      <c r="O531" s="2"/>
      <c r="P531" s="2"/>
      <c r="Q531" s="2"/>
      <c r="R531" s="2"/>
      <c r="S531" s="2"/>
      <c r="T531" s="2"/>
      <c r="U531" s="2"/>
      <c r="V531" s="105"/>
    </row>
    <row r="532" spans="1:22" x14ac:dyDescent="0.25">
      <c r="A532" s="106"/>
      <c r="F532" s="105"/>
      <c r="H532" s="105"/>
      <c r="J532" s="105"/>
      <c r="K532" s="2"/>
      <c r="L532" s="105"/>
      <c r="M532" s="2"/>
      <c r="N532" s="105"/>
      <c r="O532" s="2"/>
      <c r="P532" s="2"/>
      <c r="Q532" s="2"/>
      <c r="R532" s="2"/>
      <c r="S532" s="2"/>
      <c r="T532" s="2"/>
      <c r="U532" s="2"/>
      <c r="V532" s="105"/>
    </row>
    <row r="533" spans="1:22" x14ac:dyDescent="0.25">
      <c r="A533" s="106"/>
      <c r="F533" s="105"/>
      <c r="H533" s="105"/>
      <c r="J533" s="105"/>
      <c r="K533" s="2"/>
      <c r="L533" s="105"/>
      <c r="M533" s="2"/>
      <c r="N533" s="105"/>
      <c r="O533" s="2"/>
      <c r="P533" s="2"/>
      <c r="Q533" s="2"/>
      <c r="R533" s="2"/>
      <c r="S533" s="2"/>
      <c r="T533" s="2"/>
      <c r="U533" s="2"/>
      <c r="V533" s="105"/>
    </row>
    <row r="534" spans="1:22" x14ac:dyDescent="0.25">
      <c r="A534" s="106"/>
      <c r="F534" s="105"/>
      <c r="H534" s="105"/>
      <c r="J534" s="105"/>
      <c r="K534" s="2"/>
      <c r="L534" s="105"/>
      <c r="M534" s="2"/>
      <c r="N534" s="105"/>
      <c r="O534" s="2"/>
      <c r="P534" s="2"/>
      <c r="Q534" s="2"/>
      <c r="R534" s="2"/>
      <c r="S534" s="2"/>
      <c r="T534" s="2"/>
      <c r="U534" s="2"/>
      <c r="V534" s="105"/>
    </row>
    <row r="535" spans="1:22" x14ac:dyDescent="0.25">
      <c r="A535" s="106"/>
      <c r="F535" s="105"/>
      <c r="H535" s="105"/>
      <c r="J535" s="105"/>
      <c r="K535" s="2"/>
      <c r="L535" s="105"/>
      <c r="M535" s="2"/>
      <c r="N535" s="105"/>
      <c r="O535" s="2"/>
      <c r="P535" s="2"/>
      <c r="Q535" s="2"/>
      <c r="R535" s="2"/>
      <c r="S535" s="2"/>
      <c r="T535" s="2"/>
      <c r="U535" s="2"/>
      <c r="V535" s="105"/>
    </row>
    <row r="536" spans="1:22" x14ac:dyDescent="0.25">
      <c r="A536" s="106"/>
      <c r="F536" s="105"/>
      <c r="H536" s="105"/>
      <c r="J536" s="105"/>
      <c r="K536" s="2"/>
      <c r="L536" s="105"/>
      <c r="M536" s="2"/>
      <c r="N536" s="105"/>
      <c r="O536" s="2"/>
      <c r="P536" s="2"/>
      <c r="Q536" s="2"/>
      <c r="R536" s="2"/>
      <c r="S536" s="2"/>
      <c r="T536" s="2"/>
      <c r="U536" s="2"/>
      <c r="V536" s="105"/>
    </row>
    <row r="537" spans="1:22" x14ac:dyDescent="0.25">
      <c r="A537" s="106"/>
      <c r="F537" s="105"/>
      <c r="H537" s="105"/>
      <c r="J537" s="105"/>
      <c r="K537" s="2"/>
      <c r="L537" s="105"/>
      <c r="M537" s="2"/>
      <c r="N537" s="105"/>
      <c r="O537" s="2"/>
      <c r="P537" s="2"/>
      <c r="Q537" s="2"/>
      <c r="R537" s="2"/>
      <c r="S537" s="2"/>
      <c r="T537" s="2"/>
      <c r="U537" s="2"/>
      <c r="V537" s="105"/>
    </row>
    <row r="538" spans="1:22" x14ac:dyDescent="0.25">
      <c r="A538" s="106"/>
      <c r="F538" s="105"/>
      <c r="H538" s="105"/>
      <c r="J538" s="105"/>
      <c r="K538" s="2"/>
      <c r="L538" s="105"/>
      <c r="M538" s="2"/>
      <c r="N538" s="105"/>
      <c r="O538" s="2"/>
      <c r="P538" s="2"/>
      <c r="Q538" s="2"/>
      <c r="R538" s="2"/>
      <c r="S538" s="2"/>
      <c r="T538" s="2"/>
      <c r="U538" s="2"/>
      <c r="V538" s="105"/>
    </row>
    <row r="539" spans="1:22" x14ac:dyDescent="0.25">
      <c r="A539" s="106"/>
      <c r="F539" s="105"/>
      <c r="H539" s="105"/>
      <c r="J539" s="105"/>
      <c r="K539" s="2"/>
      <c r="L539" s="105"/>
      <c r="M539" s="2"/>
      <c r="N539" s="105"/>
      <c r="O539" s="2"/>
      <c r="P539" s="2"/>
      <c r="Q539" s="2"/>
      <c r="R539" s="2"/>
      <c r="S539" s="2"/>
      <c r="T539" s="2"/>
      <c r="U539" s="2"/>
      <c r="V539" s="105"/>
    </row>
    <row r="540" spans="1:22" x14ac:dyDescent="0.25">
      <c r="A540" s="106"/>
      <c r="F540" s="105"/>
      <c r="H540" s="105"/>
      <c r="J540" s="105"/>
      <c r="K540" s="2"/>
      <c r="L540" s="105"/>
      <c r="M540" s="2"/>
      <c r="N540" s="105"/>
      <c r="O540" s="2"/>
      <c r="P540" s="2"/>
      <c r="Q540" s="2"/>
      <c r="R540" s="2"/>
      <c r="S540" s="2"/>
      <c r="T540" s="2"/>
      <c r="U540" s="2"/>
      <c r="V540" s="105"/>
    </row>
    <row r="541" spans="1:22" x14ac:dyDescent="0.25">
      <c r="A541" s="106"/>
      <c r="F541" s="105"/>
      <c r="H541" s="105"/>
      <c r="J541" s="105"/>
      <c r="K541" s="2"/>
      <c r="L541" s="105"/>
      <c r="M541" s="2"/>
      <c r="N541" s="105"/>
      <c r="O541" s="2"/>
      <c r="P541" s="2"/>
      <c r="Q541" s="2"/>
      <c r="R541" s="2"/>
      <c r="S541" s="2"/>
      <c r="T541" s="2"/>
      <c r="U541" s="2"/>
      <c r="V541" s="105"/>
    </row>
    <row r="542" spans="1:22" x14ac:dyDescent="0.25">
      <c r="A542" s="106"/>
      <c r="F542" s="105"/>
      <c r="H542" s="105"/>
      <c r="J542" s="105"/>
      <c r="K542" s="2"/>
      <c r="L542" s="105"/>
      <c r="M542" s="2"/>
      <c r="N542" s="105"/>
      <c r="O542" s="2"/>
      <c r="P542" s="2"/>
      <c r="Q542" s="2"/>
      <c r="R542" s="2"/>
      <c r="S542" s="2"/>
      <c r="T542" s="2"/>
      <c r="U542" s="2"/>
      <c r="V542" s="105"/>
    </row>
    <row r="543" spans="1:22" x14ac:dyDescent="0.25">
      <c r="A543" s="106"/>
      <c r="F543" s="105"/>
      <c r="H543" s="105"/>
      <c r="J543" s="105"/>
      <c r="K543" s="2"/>
      <c r="L543" s="105"/>
      <c r="M543" s="2"/>
      <c r="N543" s="105"/>
      <c r="O543" s="2"/>
      <c r="P543" s="2"/>
      <c r="Q543" s="2"/>
      <c r="R543" s="2"/>
      <c r="S543" s="2"/>
      <c r="T543" s="2"/>
      <c r="U543" s="2"/>
      <c r="V543" s="105"/>
    </row>
    <row r="544" spans="1:22" x14ac:dyDescent="0.25">
      <c r="A544" s="106"/>
      <c r="F544" s="105"/>
      <c r="H544" s="105"/>
      <c r="J544" s="105"/>
      <c r="K544" s="2"/>
      <c r="L544" s="105"/>
      <c r="M544" s="2"/>
      <c r="N544" s="105"/>
      <c r="O544" s="2"/>
      <c r="P544" s="2"/>
      <c r="Q544" s="2"/>
      <c r="R544" s="2"/>
      <c r="S544" s="2"/>
      <c r="T544" s="2"/>
      <c r="U544" s="2"/>
      <c r="V544" s="105"/>
    </row>
    <row r="545" spans="1:22" x14ac:dyDescent="0.25">
      <c r="A545" s="106"/>
      <c r="F545" s="105"/>
      <c r="H545" s="105"/>
      <c r="J545" s="105"/>
      <c r="K545" s="2"/>
      <c r="L545" s="105"/>
      <c r="M545" s="2"/>
      <c r="N545" s="105"/>
      <c r="O545" s="2"/>
      <c r="P545" s="2"/>
      <c r="Q545" s="2"/>
      <c r="R545" s="2"/>
      <c r="S545" s="2"/>
      <c r="T545" s="2"/>
      <c r="U545" s="2"/>
      <c r="V545" s="105"/>
    </row>
    <row r="546" spans="1:22" x14ac:dyDescent="0.25">
      <c r="A546" s="106"/>
      <c r="F546" s="105"/>
      <c r="H546" s="105"/>
      <c r="J546" s="105"/>
      <c r="K546" s="2"/>
      <c r="L546" s="105"/>
      <c r="M546" s="2"/>
      <c r="N546" s="105"/>
      <c r="O546" s="2"/>
      <c r="P546" s="2"/>
      <c r="Q546" s="2"/>
      <c r="R546" s="2"/>
      <c r="S546" s="2"/>
      <c r="T546" s="2"/>
      <c r="U546" s="2"/>
      <c r="V546" s="105"/>
    </row>
    <row r="547" spans="1:22" x14ac:dyDescent="0.25">
      <c r="A547" s="106"/>
      <c r="F547" s="105"/>
      <c r="H547" s="105"/>
      <c r="J547" s="105"/>
      <c r="K547" s="2"/>
      <c r="L547" s="105"/>
      <c r="M547" s="2"/>
      <c r="N547" s="105"/>
      <c r="O547" s="2"/>
      <c r="P547" s="2"/>
      <c r="Q547" s="2"/>
      <c r="R547" s="2"/>
      <c r="S547" s="2"/>
      <c r="T547" s="2"/>
      <c r="U547" s="2"/>
      <c r="V547" s="105"/>
    </row>
    <row r="548" spans="1:22" x14ac:dyDescent="0.25">
      <c r="A548" s="106"/>
      <c r="F548" s="105"/>
      <c r="H548" s="105"/>
      <c r="J548" s="105"/>
      <c r="K548" s="2"/>
      <c r="L548" s="105"/>
      <c r="M548" s="2"/>
      <c r="N548" s="105"/>
      <c r="O548" s="2"/>
      <c r="P548" s="2"/>
      <c r="Q548" s="2"/>
      <c r="R548" s="2"/>
      <c r="S548" s="2"/>
      <c r="T548" s="2"/>
      <c r="U548" s="2"/>
      <c r="V548" s="105"/>
    </row>
    <row r="549" spans="1:22" x14ac:dyDescent="0.25">
      <c r="A549" s="106"/>
      <c r="F549" s="105"/>
      <c r="H549" s="105"/>
      <c r="J549" s="105"/>
      <c r="K549" s="2"/>
      <c r="L549" s="105"/>
      <c r="M549" s="2"/>
      <c r="N549" s="105"/>
      <c r="O549" s="2"/>
      <c r="P549" s="2"/>
      <c r="Q549" s="2"/>
      <c r="R549" s="2"/>
      <c r="S549" s="2"/>
      <c r="T549" s="2"/>
      <c r="U549" s="2"/>
      <c r="V549" s="105"/>
    </row>
    <row r="550" spans="1:22" x14ac:dyDescent="0.25">
      <c r="A550" s="106"/>
      <c r="F550" s="105"/>
      <c r="H550" s="105"/>
      <c r="J550" s="105"/>
      <c r="K550" s="2"/>
      <c r="L550" s="105"/>
      <c r="M550" s="2"/>
      <c r="N550" s="105"/>
      <c r="O550" s="2"/>
      <c r="P550" s="2"/>
      <c r="Q550" s="2"/>
      <c r="R550" s="2"/>
      <c r="S550" s="2"/>
      <c r="T550" s="2"/>
      <c r="U550" s="2"/>
      <c r="V550" s="105"/>
    </row>
    <row r="551" spans="1:22" x14ac:dyDescent="0.25">
      <c r="A551" s="106"/>
      <c r="F551" s="105"/>
      <c r="H551" s="105"/>
      <c r="J551" s="105"/>
      <c r="K551" s="2"/>
      <c r="L551" s="105"/>
      <c r="M551" s="2"/>
      <c r="N551" s="105"/>
      <c r="O551" s="2"/>
      <c r="P551" s="2"/>
      <c r="Q551" s="2"/>
      <c r="R551" s="2"/>
      <c r="S551" s="2"/>
      <c r="T551" s="2"/>
      <c r="U551" s="2"/>
      <c r="V551" s="105"/>
    </row>
    <row r="552" spans="1:22" x14ac:dyDescent="0.25">
      <c r="A552" s="106"/>
      <c r="F552" s="105"/>
      <c r="H552" s="105"/>
      <c r="J552" s="105"/>
      <c r="K552" s="2"/>
      <c r="L552" s="105"/>
      <c r="M552" s="2"/>
      <c r="N552" s="105"/>
      <c r="O552" s="2"/>
      <c r="P552" s="2"/>
      <c r="Q552" s="2"/>
      <c r="R552" s="2"/>
      <c r="S552" s="2"/>
      <c r="T552" s="2"/>
      <c r="U552" s="2"/>
      <c r="V552" s="105"/>
    </row>
    <row r="553" spans="1:22" x14ac:dyDescent="0.25">
      <c r="A553" s="106"/>
      <c r="F553" s="105"/>
      <c r="H553" s="105"/>
      <c r="J553" s="105"/>
      <c r="K553" s="2"/>
      <c r="L553" s="105"/>
      <c r="M553" s="2"/>
      <c r="N553" s="105"/>
      <c r="O553" s="2"/>
      <c r="P553" s="2"/>
      <c r="Q553" s="2"/>
      <c r="R553" s="2"/>
      <c r="S553" s="2"/>
      <c r="T553" s="2"/>
      <c r="U553" s="2"/>
      <c r="V553" s="105"/>
    </row>
    <row r="554" spans="1:22" x14ac:dyDescent="0.25">
      <c r="A554" s="106"/>
      <c r="F554" s="105"/>
      <c r="H554" s="105"/>
      <c r="J554" s="105"/>
      <c r="K554" s="2"/>
      <c r="L554" s="105"/>
      <c r="M554" s="2"/>
      <c r="N554" s="105"/>
      <c r="O554" s="2"/>
      <c r="P554" s="2"/>
      <c r="Q554" s="2"/>
      <c r="R554" s="2"/>
      <c r="S554" s="2"/>
      <c r="T554" s="2"/>
      <c r="U554" s="2"/>
      <c r="V554" s="105"/>
    </row>
    <row r="555" spans="1:22" x14ac:dyDescent="0.25">
      <c r="A555" s="106"/>
      <c r="F555" s="105"/>
      <c r="H555" s="105"/>
      <c r="J555" s="105"/>
      <c r="K555" s="2"/>
      <c r="L555" s="105"/>
      <c r="M555" s="2"/>
      <c r="N555" s="105"/>
      <c r="O555" s="2"/>
      <c r="P555" s="2"/>
      <c r="Q555" s="2"/>
      <c r="R555" s="2"/>
      <c r="S555" s="2"/>
      <c r="T555" s="2"/>
      <c r="U555" s="2"/>
      <c r="V555" s="105"/>
    </row>
    <row r="556" spans="1:22" x14ac:dyDescent="0.25">
      <c r="A556" s="106"/>
      <c r="F556" s="105"/>
      <c r="H556" s="105"/>
      <c r="J556" s="105"/>
      <c r="K556" s="2"/>
      <c r="L556" s="105"/>
      <c r="M556" s="2"/>
      <c r="N556" s="105"/>
      <c r="O556" s="2"/>
      <c r="P556" s="2"/>
      <c r="Q556" s="2"/>
      <c r="R556" s="2"/>
      <c r="S556" s="2"/>
      <c r="T556" s="2"/>
      <c r="U556" s="2"/>
      <c r="V556" s="105"/>
    </row>
    <row r="557" spans="1:22" x14ac:dyDescent="0.25">
      <c r="A557" s="106"/>
      <c r="F557" s="105"/>
      <c r="H557" s="105"/>
      <c r="J557" s="105"/>
      <c r="K557" s="2"/>
      <c r="L557" s="105"/>
      <c r="M557" s="2"/>
      <c r="N557" s="105"/>
      <c r="O557" s="2"/>
      <c r="P557" s="2"/>
      <c r="Q557" s="2"/>
      <c r="R557" s="2"/>
      <c r="S557" s="2"/>
      <c r="T557" s="2"/>
      <c r="U557" s="2"/>
      <c r="V557" s="105"/>
    </row>
    <row r="558" spans="1:22" x14ac:dyDescent="0.25">
      <c r="A558" s="106"/>
      <c r="F558" s="105"/>
      <c r="H558" s="105"/>
      <c r="J558" s="105"/>
      <c r="K558" s="2"/>
      <c r="L558" s="105"/>
      <c r="M558" s="2"/>
      <c r="N558" s="105"/>
      <c r="O558" s="2"/>
      <c r="P558" s="2"/>
      <c r="Q558" s="2"/>
      <c r="R558" s="2"/>
      <c r="S558" s="2"/>
      <c r="T558" s="2"/>
      <c r="U558" s="2"/>
      <c r="V558" s="105"/>
    </row>
    <row r="559" spans="1:22" x14ac:dyDescent="0.25">
      <c r="A559" s="106"/>
      <c r="F559" s="105"/>
      <c r="H559" s="105"/>
      <c r="J559" s="105"/>
      <c r="K559" s="2"/>
      <c r="L559" s="105"/>
      <c r="M559" s="2"/>
      <c r="N559" s="105"/>
      <c r="O559" s="2"/>
      <c r="P559" s="2"/>
      <c r="Q559" s="2"/>
      <c r="R559" s="2"/>
      <c r="S559" s="2"/>
      <c r="T559" s="2"/>
      <c r="U559" s="2"/>
      <c r="V559" s="105"/>
    </row>
    <row r="560" spans="1:22" x14ac:dyDescent="0.25">
      <c r="A560" s="106"/>
      <c r="F560" s="105"/>
      <c r="H560" s="105"/>
      <c r="J560" s="105"/>
      <c r="K560" s="2"/>
      <c r="L560" s="105"/>
      <c r="M560" s="2"/>
      <c r="N560" s="105"/>
      <c r="O560" s="2"/>
      <c r="P560" s="2"/>
      <c r="Q560" s="2"/>
      <c r="R560" s="2"/>
      <c r="S560" s="2"/>
      <c r="T560" s="2"/>
      <c r="U560" s="2"/>
      <c r="V560" s="105"/>
    </row>
    <row r="561" spans="1:22" x14ac:dyDescent="0.25">
      <c r="A561" s="106"/>
      <c r="F561" s="105"/>
      <c r="H561" s="105"/>
      <c r="J561" s="105"/>
      <c r="K561" s="2"/>
      <c r="L561" s="105"/>
      <c r="M561" s="2"/>
      <c r="N561" s="105"/>
      <c r="O561" s="2"/>
      <c r="P561" s="2"/>
      <c r="Q561" s="2"/>
      <c r="R561" s="2"/>
      <c r="S561" s="2"/>
      <c r="T561" s="2"/>
      <c r="U561" s="2"/>
      <c r="V561" s="105"/>
    </row>
    <row r="562" spans="1:22" x14ac:dyDescent="0.25">
      <c r="A562" s="106"/>
      <c r="F562" s="105"/>
      <c r="H562" s="105"/>
      <c r="J562" s="105"/>
      <c r="K562" s="2"/>
      <c r="L562" s="105"/>
      <c r="M562" s="2"/>
      <c r="N562" s="105"/>
      <c r="O562" s="2"/>
      <c r="P562" s="2"/>
      <c r="Q562" s="2"/>
      <c r="R562" s="2"/>
      <c r="S562" s="2"/>
      <c r="T562" s="2"/>
      <c r="U562" s="2"/>
      <c r="V562" s="105"/>
    </row>
    <row r="563" spans="1:22" x14ac:dyDescent="0.25">
      <c r="A563" s="106"/>
      <c r="F563" s="105"/>
      <c r="H563" s="105"/>
      <c r="J563" s="105"/>
      <c r="K563" s="2"/>
      <c r="L563" s="105"/>
      <c r="M563" s="2"/>
      <c r="N563" s="105"/>
      <c r="O563" s="2"/>
      <c r="P563" s="2"/>
      <c r="Q563" s="2"/>
      <c r="R563" s="2"/>
      <c r="S563" s="2"/>
      <c r="T563" s="2"/>
      <c r="U563" s="2"/>
      <c r="V563" s="105"/>
    </row>
    <row r="564" spans="1:22" x14ac:dyDescent="0.25">
      <c r="A564" s="106"/>
      <c r="F564" s="105"/>
      <c r="H564" s="105"/>
      <c r="J564" s="105"/>
      <c r="K564" s="2"/>
      <c r="L564" s="105"/>
      <c r="M564" s="2"/>
      <c r="N564" s="105"/>
      <c r="O564" s="2"/>
      <c r="P564" s="2"/>
      <c r="Q564" s="2"/>
      <c r="R564" s="2"/>
      <c r="S564" s="2"/>
      <c r="T564" s="2"/>
      <c r="U564" s="2"/>
      <c r="V564" s="105"/>
    </row>
    <row r="565" spans="1:22" x14ac:dyDescent="0.25">
      <c r="A565" s="106"/>
      <c r="F565" s="105"/>
      <c r="H565" s="105"/>
      <c r="J565" s="105"/>
      <c r="K565" s="2"/>
      <c r="L565" s="105"/>
      <c r="M565" s="2"/>
      <c r="N565" s="105"/>
      <c r="O565" s="2"/>
      <c r="P565" s="2"/>
      <c r="Q565" s="2"/>
      <c r="R565" s="2"/>
      <c r="S565" s="2"/>
      <c r="T565" s="2"/>
      <c r="U565" s="2"/>
      <c r="V565" s="105"/>
    </row>
    <row r="566" spans="1:22" x14ac:dyDescent="0.25">
      <c r="A566" s="106"/>
      <c r="F566" s="105"/>
      <c r="H566" s="105"/>
      <c r="J566" s="105"/>
      <c r="K566" s="2"/>
      <c r="L566" s="105"/>
      <c r="M566" s="2"/>
      <c r="N566" s="105"/>
      <c r="O566" s="2"/>
      <c r="P566" s="2"/>
      <c r="Q566" s="2"/>
      <c r="R566" s="2"/>
      <c r="S566" s="2"/>
      <c r="T566" s="2"/>
      <c r="U566" s="2"/>
      <c r="V566" s="105"/>
    </row>
    <row r="567" spans="1:22" x14ac:dyDescent="0.25">
      <c r="A567" s="106"/>
      <c r="F567" s="105"/>
      <c r="H567" s="105"/>
      <c r="J567" s="105"/>
      <c r="K567" s="2"/>
      <c r="L567" s="105"/>
      <c r="M567" s="2"/>
      <c r="N567" s="105"/>
      <c r="O567" s="2"/>
      <c r="P567" s="2"/>
      <c r="Q567" s="2"/>
      <c r="R567" s="2"/>
      <c r="S567" s="2"/>
      <c r="T567" s="2"/>
      <c r="U567" s="2"/>
      <c r="V567" s="105"/>
    </row>
    <row r="568" spans="1:22" x14ac:dyDescent="0.25">
      <c r="A568" s="106"/>
      <c r="F568" s="105"/>
      <c r="H568" s="105"/>
      <c r="J568" s="105"/>
      <c r="K568" s="2"/>
      <c r="L568" s="105"/>
      <c r="M568" s="2"/>
      <c r="N568" s="105"/>
      <c r="O568" s="2"/>
      <c r="P568" s="2"/>
      <c r="Q568" s="2"/>
      <c r="R568" s="2"/>
      <c r="S568" s="2"/>
      <c r="T568" s="2"/>
      <c r="U568" s="2"/>
      <c r="V568" s="105"/>
    </row>
    <row r="569" spans="1:22" x14ac:dyDescent="0.25">
      <c r="A569" s="106"/>
      <c r="F569" s="105"/>
      <c r="H569" s="105"/>
      <c r="J569" s="105"/>
      <c r="K569" s="2"/>
      <c r="L569" s="105"/>
      <c r="M569" s="2"/>
      <c r="N569" s="105"/>
      <c r="O569" s="2"/>
      <c r="P569" s="2"/>
      <c r="Q569" s="2"/>
      <c r="R569" s="2"/>
      <c r="S569" s="2"/>
      <c r="T569" s="2"/>
      <c r="U569" s="2"/>
      <c r="V569" s="105"/>
    </row>
    <row r="570" spans="1:22" x14ac:dyDescent="0.25">
      <c r="A570" s="106"/>
      <c r="F570" s="105"/>
      <c r="H570" s="105"/>
      <c r="J570" s="105"/>
      <c r="K570" s="2"/>
      <c r="L570" s="105"/>
      <c r="M570" s="2"/>
      <c r="N570" s="105"/>
      <c r="O570" s="2"/>
      <c r="P570" s="2"/>
      <c r="Q570" s="2"/>
      <c r="R570" s="2"/>
      <c r="S570" s="2"/>
      <c r="T570" s="2"/>
      <c r="U570" s="2"/>
      <c r="V570" s="105"/>
    </row>
    <row r="571" spans="1:22" x14ac:dyDescent="0.25">
      <c r="A571" s="106"/>
      <c r="F571" s="105"/>
      <c r="H571" s="105"/>
      <c r="J571" s="105"/>
      <c r="K571" s="2"/>
      <c r="L571" s="105"/>
      <c r="M571" s="2"/>
      <c r="N571" s="105"/>
      <c r="O571" s="2"/>
      <c r="P571" s="2"/>
      <c r="Q571" s="2"/>
      <c r="R571" s="2"/>
      <c r="S571" s="2"/>
      <c r="T571" s="2"/>
      <c r="U571" s="2"/>
      <c r="V571" s="105"/>
    </row>
    <row r="572" spans="1:22" x14ac:dyDescent="0.25">
      <c r="A572" s="106"/>
      <c r="F572" s="105"/>
      <c r="H572" s="105"/>
      <c r="J572" s="105"/>
      <c r="K572" s="2"/>
      <c r="L572" s="105"/>
      <c r="M572" s="2"/>
      <c r="N572" s="105"/>
      <c r="O572" s="2"/>
      <c r="P572" s="2"/>
      <c r="Q572" s="2"/>
      <c r="R572" s="2"/>
      <c r="S572" s="2"/>
      <c r="T572" s="2"/>
      <c r="U572" s="2"/>
      <c r="V572" s="105"/>
    </row>
    <row r="573" spans="1:22" x14ac:dyDescent="0.25">
      <c r="A573" s="106"/>
      <c r="F573" s="105"/>
      <c r="H573" s="105"/>
      <c r="J573" s="105"/>
      <c r="K573" s="2"/>
      <c r="L573" s="105"/>
      <c r="M573" s="2"/>
      <c r="N573" s="105"/>
      <c r="O573" s="2"/>
      <c r="P573" s="2"/>
      <c r="Q573" s="2"/>
      <c r="R573" s="2"/>
      <c r="S573" s="2"/>
      <c r="T573" s="2"/>
      <c r="U573" s="2"/>
      <c r="V573" s="105"/>
    </row>
    <row r="574" spans="1:22" x14ac:dyDescent="0.25">
      <c r="A574" s="106"/>
      <c r="F574" s="105"/>
      <c r="H574" s="105"/>
      <c r="J574" s="105"/>
      <c r="K574" s="2"/>
      <c r="L574" s="105"/>
      <c r="M574" s="2"/>
      <c r="N574" s="105"/>
      <c r="O574" s="2"/>
      <c r="P574" s="2"/>
      <c r="Q574" s="2"/>
      <c r="R574" s="2"/>
      <c r="S574" s="2"/>
      <c r="T574" s="2"/>
      <c r="U574" s="2"/>
      <c r="V574" s="105"/>
    </row>
    <row r="575" spans="1:22" x14ac:dyDescent="0.25">
      <c r="A575" s="106"/>
      <c r="F575" s="105"/>
      <c r="H575" s="105"/>
      <c r="J575" s="105"/>
      <c r="K575" s="2"/>
      <c r="L575" s="105"/>
      <c r="M575" s="2"/>
      <c r="N575" s="105"/>
      <c r="O575" s="2"/>
      <c r="P575" s="2"/>
      <c r="Q575" s="2"/>
      <c r="R575" s="2"/>
      <c r="S575" s="2"/>
      <c r="T575" s="2"/>
      <c r="U575" s="2"/>
      <c r="V575" s="105"/>
    </row>
    <row r="576" spans="1:22" x14ac:dyDescent="0.25">
      <c r="A576" s="106"/>
      <c r="F576" s="105"/>
      <c r="H576" s="105"/>
      <c r="J576" s="105"/>
      <c r="K576" s="2"/>
      <c r="L576" s="105"/>
      <c r="M576" s="2"/>
      <c r="N576" s="105"/>
      <c r="O576" s="2"/>
      <c r="P576" s="2"/>
      <c r="Q576" s="2"/>
      <c r="R576" s="2"/>
      <c r="S576" s="2"/>
      <c r="T576" s="2"/>
      <c r="U576" s="2"/>
      <c r="V576" s="105"/>
    </row>
    <row r="577" spans="1:22" x14ac:dyDescent="0.25">
      <c r="A577" s="106"/>
      <c r="F577" s="105"/>
      <c r="H577" s="105"/>
      <c r="J577" s="105"/>
      <c r="K577" s="2"/>
      <c r="L577" s="105"/>
      <c r="M577" s="2"/>
      <c r="N577" s="105"/>
      <c r="O577" s="2"/>
      <c r="P577" s="2"/>
      <c r="Q577" s="2"/>
      <c r="R577" s="2"/>
      <c r="S577" s="2"/>
      <c r="T577" s="2"/>
      <c r="U577" s="2"/>
      <c r="V577" s="105"/>
    </row>
    <row r="578" spans="1:22" x14ac:dyDescent="0.25">
      <c r="A578" s="106"/>
      <c r="F578" s="105"/>
      <c r="H578" s="105"/>
      <c r="J578" s="105"/>
      <c r="K578" s="2"/>
      <c r="L578" s="105"/>
      <c r="M578" s="2"/>
      <c r="N578" s="105"/>
      <c r="O578" s="2"/>
      <c r="P578" s="2"/>
      <c r="Q578" s="2"/>
      <c r="R578" s="2"/>
      <c r="S578" s="2"/>
      <c r="T578" s="2"/>
      <c r="U578" s="2"/>
      <c r="V578" s="105"/>
    </row>
    <row r="579" spans="1:22" x14ac:dyDescent="0.25">
      <c r="A579" s="106"/>
      <c r="F579" s="105"/>
      <c r="H579" s="105"/>
      <c r="J579" s="105"/>
      <c r="K579" s="2"/>
      <c r="L579" s="105"/>
      <c r="M579" s="2"/>
      <c r="N579" s="105"/>
      <c r="O579" s="2"/>
      <c r="P579" s="2"/>
      <c r="Q579" s="2"/>
      <c r="R579" s="2"/>
      <c r="S579" s="2"/>
      <c r="T579" s="2"/>
      <c r="U579" s="2"/>
      <c r="V579" s="105"/>
    </row>
    <row r="580" spans="1:22" x14ac:dyDescent="0.25">
      <c r="A580" s="106"/>
      <c r="F580" s="105"/>
      <c r="H580" s="105"/>
      <c r="J580" s="105"/>
      <c r="K580" s="2"/>
      <c r="L580" s="105"/>
      <c r="M580" s="2"/>
      <c r="N580" s="105"/>
      <c r="O580" s="2"/>
      <c r="P580" s="2"/>
      <c r="Q580" s="2"/>
      <c r="R580" s="2"/>
      <c r="S580" s="2"/>
      <c r="T580" s="2"/>
      <c r="U580" s="2"/>
      <c r="V580" s="105"/>
    </row>
    <row r="581" spans="1:22" x14ac:dyDescent="0.25">
      <c r="A581" s="106"/>
      <c r="F581" s="105"/>
      <c r="H581" s="105"/>
      <c r="J581" s="105"/>
      <c r="K581" s="2"/>
      <c r="L581" s="105"/>
      <c r="M581" s="2"/>
      <c r="N581" s="105"/>
      <c r="O581" s="2"/>
      <c r="P581" s="2"/>
      <c r="Q581" s="2"/>
      <c r="R581" s="2"/>
      <c r="S581" s="2"/>
      <c r="T581" s="2"/>
      <c r="U581" s="2"/>
      <c r="V581" s="105"/>
    </row>
    <row r="582" spans="1:22" x14ac:dyDescent="0.25">
      <c r="A582" s="106"/>
      <c r="F582" s="105"/>
      <c r="H582" s="105"/>
      <c r="J582" s="105"/>
      <c r="K582" s="2"/>
      <c r="L582" s="105"/>
      <c r="M582" s="2"/>
      <c r="N582" s="105"/>
      <c r="O582" s="2"/>
      <c r="P582" s="2"/>
      <c r="Q582" s="2"/>
      <c r="R582" s="2"/>
      <c r="S582" s="2"/>
      <c r="T582" s="2"/>
      <c r="U582" s="2"/>
      <c r="V582" s="105"/>
    </row>
    <row r="583" spans="1:22" x14ac:dyDescent="0.25">
      <c r="A583" s="106"/>
      <c r="F583" s="105"/>
      <c r="H583" s="105"/>
      <c r="J583" s="105"/>
      <c r="K583" s="2"/>
      <c r="L583" s="105"/>
      <c r="M583" s="2"/>
      <c r="N583" s="105"/>
      <c r="O583" s="2"/>
      <c r="P583" s="2"/>
      <c r="Q583" s="2"/>
      <c r="R583" s="2"/>
      <c r="S583" s="2"/>
      <c r="T583" s="2"/>
      <c r="U583" s="2"/>
      <c r="V583" s="105"/>
    </row>
    <row r="584" spans="1:22" x14ac:dyDescent="0.25">
      <c r="A584" s="106"/>
      <c r="F584" s="105"/>
      <c r="H584" s="105"/>
      <c r="J584" s="105"/>
      <c r="K584" s="2"/>
      <c r="L584" s="105"/>
      <c r="M584" s="2"/>
      <c r="N584" s="105"/>
      <c r="O584" s="2"/>
      <c r="P584" s="2"/>
      <c r="Q584" s="2"/>
      <c r="R584" s="2"/>
      <c r="S584" s="2"/>
      <c r="T584" s="2"/>
      <c r="U584" s="2"/>
      <c r="V584" s="105"/>
    </row>
    <row r="585" spans="1:22" x14ac:dyDescent="0.25">
      <c r="A585" s="106"/>
      <c r="F585" s="105"/>
      <c r="H585" s="105"/>
      <c r="J585" s="105"/>
      <c r="K585" s="2"/>
      <c r="L585" s="105"/>
      <c r="M585" s="2"/>
      <c r="N585" s="105"/>
      <c r="O585" s="2"/>
      <c r="P585" s="2"/>
      <c r="Q585" s="2"/>
      <c r="R585" s="2"/>
      <c r="S585" s="2"/>
      <c r="T585" s="2"/>
      <c r="U585" s="2"/>
      <c r="V585" s="105"/>
    </row>
    <row r="586" spans="1:22" x14ac:dyDescent="0.25">
      <c r="A586" s="106"/>
      <c r="F586" s="105"/>
      <c r="H586" s="105"/>
      <c r="J586" s="105"/>
      <c r="K586" s="2"/>
      <c r="L586" s="105"/>
      <c r="M586" s="2"/>
      <c r="N586" s="105"/>
      <c r="O586" s="2"/>
      <c r="P586" s="2"/>
      <c r="Q586" s="2"/>
      <c r="R586" s="2"/>
      <c r="S586" s="2"/>
      <c r="T586" s="2"/>
      <c r="U586" s="2"/>
      <c r="V586" s="105"/>
    </row>
    <row r="587" spans="1:22" x14ac:dyDescent="0.25">
      <c r="A587" s="106"/>
      <c r="F587" s="105"/>
      <c r="H587" s="105"/>
      <c r="J587" s="105"/>
      <c r="K587" s="2"/>
      <c r="L587" s="105"/>
      <c r="M587" s="2"/>
      <c r="N587" s="105"/>
      <c r="O587" s="2"/>
      <c r="P587" s="2"/>
      <c r="Q587" s="2"/>
      <c r="R587" s="2"/>
      <c r="S587" s="2"/>
      <c r="T587" s="2"/>
      <c r="U587" s="2"/>
      <c r="V587" s="105"/>
    </row>
    <row r="588" spans="1:22" x14ac:dyDescent="0.25">
      <c r="A588" s="106"/>
      <c r="F588" s="105"/>
      <c r="H588" s="105"/>
      <c r="J588" s="105"/>
      <c r="K588" s="2"/>
      <c r="L588" s="105"/>
      <c r="M588" s="2"/>
      <c r="N588" s="105"/>
      <c r="O588" s="2"/>
      <c r="P588" s="2"/>
      <c r="Q588" s="2"/>
      <c r="R588" s="2"/>
      <c r="S588" s="2"/>
      <c r="T588" s="2"/>
      <c r="U588" s="2"/>
      <c r="V588" s="105"/>
    </row>
    <row r="589" spans="1:22" x14ac:dyDescent="0.25">
      <c r="A589" s="106"/>
      <c r="F589" s="105"/>
      <c r="H589" s="105"/>
      <c r="J589" s="105"/>
      <c r="K589" s="2"/>
      <c r="L589" s="105"/>
      <c r="M589" s="2"/>
      <c r="N589" s="105"/>
      <c r="O589" s="2"/>
      <c r="P589" s="2"/>
      <c r="Q589" s="2"/>
      <c r="R589" s="2"/>
      <c r="S589" s="2"/>
      <c r="T589" s="2"/>
      <c r="U589" s="2"/>
      <c r="V589" s="105"/>
    </row>
    <row r="590" spans="1:22" x14ac:dyDescent="0.25">
      <c r="A590" s="106"/>
      <c r="F590" s="105"/>
      <c r="H590" s="105"/>
      <c r="J590" s="105"/>
      <c r="K590" s="2"/>
      <c r="L590" s="105"/>
      <c r="M590" s="2"/>
      <c r="N590" s="105"/>
      <c r="O590" s="2"/>
      <c r="P590" s="2"/>
      <c r="Q590" s="2"/>
      <c r="R590" s="2"/>
      <c r="S590" s="2"/>
      <c r="T590" s="2"/>
      <c r="U590" s="2"/>
      <c r="V590" s="105"/>
    </row>
    <row r="591" spans="1:22" x14ac:dyDescent="0.25">
      <c r="A591" s="106"/>
      <c r="F591" s="105"/>
      <c r="H591" s="105"/>
      <c r="J591" s="105"/>
      <c r="K591" s="2"/>
      <c r="L591" s="105"/>
      <c r="M591" s="2"/>
      <c r="N591" s="105"/>
      <c r="O591" s="2"/>
      <c r="P591" s="2"/>
      <c r="Q591" s="2"/>
      <c r="R591" s="2"/>
      <c r="S591" s="2"/>
      <c r="T591" s="2"/>
      <c r="U591" s="2"/>
      <c r="V591" s="105"/>
    </row>
    <row r="592" spans="1:22" x14ac:dyDescent="0.25">
      <c r="A592" s="106"/>
      <c r="F592" s="105"/>
      <c r="H592" s="105"/>
      <c r="J592" s="105"/>
      <c r="K592" s="2"/>
      <c r="L592" s="105"/>
      <c r="M592" s="2"/>
      <c r="N592" s="105"/>
      <c r="O592" s="2"/>
      <c r="P592" s="2"/>
      <c r="Q592" s="2"/>
      <c r="R592" s="2"/>
      <c r="S592" s="2"/>
      <c r="T592" s="2"/>
      <c r="U592" s="2"/>
      <c r="V592" s="105"/>
    </row>
    <row r="593" spans="1:22" x14ac:dyDescent="0.25">
      <c r="A593" s="106"/>
      <c r="F593" s="105"/>
      <c r="H593" s="105"/>
      <c r="J593" s="105"/>
      <c r="K593" s="2"/>
      <c r="L593" s="105"/>
      <c r="M593" s="2"/>
      <c r="N593" s="105"/>
      <c r="O593" s="2"/>
      <c r="P593" s="2"/>
      <c r="Q593" s="2"/>
      <c r="R593" s="2"/>
      <c r="S593" s="2"/>
      <c r="T593" s="2"/>
      <c r="U593" s="2"/>
      <c r="V593" s="105"/>
    </row>
    <row r="594" spans="1:22" x14ac:dyDescent="0.25">
      <c r="A594" s="106"/>
      <c r="F594" s="105"/>
      <c r="H594" s="105"/>
      <c r="J594" s="105"/>
      <c r="K594" s="2"/>
      <c r="L594" s="105"/>
      <c r="M594" s="2"/>
      <c r="N594" s="105"/>
      <c r="O594" s="2"/>
      <c r="P594" s="2"/>
      <c r="Q594" s="2"/>
      <c r="R594" s="2"/>
      <c r="S594" s="2"/>
      <c r="T594" s="2"/>
      <c r="U594" s="2"/>
      <c r="V594" s="105"/>
    </row>
    <row r="595" spans="1:22" x14ac:dyDescent="0.25">
      <c r="A595" s="106"/>
      <c r="F595" s="105"/>
      <c r="H595" s="105"/>
      <c r="J595" s="105"/>
      <c r="K595" s="2"/>
      <c r="L595" s="105"/>
      <c r="M595" s="2"/>
      <c r="N595" s="105"/>
      <c r="O595" s="2"/>
      <c r="P595" s="2"/>
      <c r="Q595" s="2"/>
      <c r="R595" s="2"/>
      <c r="S595" s="2"/>
      <c r="T595" s="2"/>
      <c r="U595" s="2"/>
      <c r="V595" s="105"/>
    </row>
    <row r="596" spans="1:22" x14ac:dyDescent="0.25">
      <c r="A596" s="106"/>
      <c r="F596" s="105"/>
      <c r="H596" s="105"/>
      <c r="J596" s="105"/>
      <c r="K596" s="2"/>
      <c r="L596" s="105"/>
      <c r="M596" s="2"/>
      <c r="N596" s="105"/>
      <c r="O596" s="2"/>
      <c r="P596" s="2"/>
      <c r="Q596" s="2"/>
      <c r="R596" s="2"/>
      <c r="S596" s="2"/>
      <c r="T596" s="2"/>
      <c r="U596" s="2"/>
      <c r="V596" s="105"/>
    </row>
    <row r="597" spans="1:22" x14ac:dyDescent="0.25">
      <c r="A597" s="106"/>
      <c r="F597" s="105"/>
      <c r="H597" s="105"/>
      <c r="J597" s="105"/>
      <c r="K597" s="2"/>
      <c r="L597" s="105"/>
      <c r="M597" s="2"/>
      <c r="N597" s="105"/>
      <c r="O597" s="2"/>
      <c r="P597" s="2"/>
      <c r="Q597" s="2"/>
      <c r="R597" s="2"/>
      <c r="S597" s="2"/>
      <c r="T597" s="2"/>
      <c r="U597" s="2"/>
      <c r="V597" s="105"/>
    </row>
    <row r="598" spans="1:22" x14ac:dyDescent="0.25">
      <c r="A598" s="106"/>
      <c r="F598" s="105"/>
      <c r="H598" s="105"/>
      <c r="J598" s="105"/>
      <c r="K598" s="2"/>
      <c r="L598" s="105"/>
      <c r="M598" s="2"/>
      <c r="N598" s="105"/>
      <c r="O598" s="2"/>
      <c r="P598" s="2"/>
      <c r="Q598" s="2"/>
      <c r="R598" s="2"/>
      <c r="S598" s="2"/>
      <c r="T598" s="2"/>
      <c r="U598" s="2"/>
      <c r="V598" s="105"/>
    </row>
    <row r="599" spans="1:22" x14ac:dyDescent="0.25">
      <c r="A599" s="106"/>
      <c r="F599" s="105"/>
      <c r="H599" s="105"/>
      <c r="J599" s="105"/>
      <c r="K599" s="2"/>
      <c r="L599" s="105"/>
      <c r="M599" s="2"/>
      <c r="N599" s="105"/>
      <c r="O599" s="2"/>
      <c r="P599" s="2"/>
      <c r="Q599" s="2"/>
      <c r="R599" s="2"/>
      <c r="S599" s="2"/>
      <c r="T599" s="2"/>
      <c r="U599" s="2"/>
      <c r="V599" s="105"/>
    </row>
    <row r="600" spans="1:22" x14ac:dyDescent="0.25">
      <c r="A600" s="106"/>
      <c r="F600" s="105"/>
      <c r="H600" s="105"/>
      <c r="J600" s="105"/>
      <c r="K600" s="2"/>
      <c r="L600" s="105"/>
      <c r="M600" s="2"/>
      <c r="N600" s="105"/>
      <c r="O600" s="2"/>
      <c r="P600" s="2"/>
      <c r="Q600" s="2"/>
      <c r="R600" s="2"/>
      <c r="S600" s="2"/>
      <c r="T600" s="2"/>
      <c r="U600" s="2"/>
      <c r="V600" s="105"/>
    </row>
    <row r="601" spans="1:22" x14ac:dyDescent="0.25">
      <c r="A601" s="106"/>
      <c r="F601" s="105"/>
      <c r="H601" s="105"/>
      <c r="J601" s="105"/>
      <c r="K601" s="2"/>
      <c r="L601" s="105"/>
      <c r="M601" s="2"/>
      <c r="N601" s="105"/>
      <c r="O601" s="2"/>
      <c r="P601" s="2"/>
      <c r="Q601" s="2"/>
      <c r="R601" s="2"/>
      <c r="S601" s="2"/>
      <c r="T601" s="2"/>
      <c r="U601" s="2"/>
      <c r="V601" s="105"/>
    </row>
    <row r="602" spans="1:22" x14ac:dyDescent="0.25">
      <c r="A602" s="106"/>
      <c r="F602" s="105"/>
      <c r="H602" s="105"/>
      <c r="J602" s="105"/>
      <c r="K602" s="2"/>
      <c r="L602" s="105"/>
      <c r="M602" s="2"/>
      <c r="N602" s="105"/>
      <c r="O602" s="2"/>
      <c r="P602" s="2"/>
      <c r="Q602" s="2"/>
      <c r="R602" s="2"/>
      <c r="S602" s="2"/>
      <c r="T602" s="2"/>
      <c r="U602" s="2"/>
      <c r="V602" s="105"/>
    </row>
    <row r="603" spans="1:22" x14ac:dyDescent="0.25">
      <c r="A603" s="106"/>
      <c r="F603" s="105"/>
      <c r="H603" s="105"/>
      <c r="J603" s="105"/>
      <c r="K603" s="2"/>
      <c r="L603" s="105"/>
      <c r="M603" s="2"/>
      <c r="N603" s="105"/>
      <c r="O603" s="2"/>
      <c r="P603" s="2"/>
      <c r="Q603" s="2"/>
      <c r="R603" s="2"/>
      <c r="S603" s="2"/>
      <c r="T603" s="2"/>
      <c r="U603" s="2"/>
      <c r="V603" s="105"/>
    </row>
    <row r="604" spans="1:22" x14ac:dyDescent="0.25">
      <c r="A604" s="106"/>
      <c r="F604" s="105"/>
      <c r="H604" s="105"/>
      <c r="J604" s="105"/>
      <c r="K604" s="2"/>
      <c r="L604" s="105"/>
      <c r="M604" s="2"/>
      <c r="N604" s="105"/>
      <c r="O604" s="2"/>
      <c r="P604" s="2"/>
      <c r="Q604" s="2"/>
      <c r="R604" s="2"/>
      <c r="S604" s="2"/>
      <c r="T604" s="2"/>
      <c r="U604" s="2"/>
      <c r="V604" s="105"/>
    </row>
    <row r="605" spans="1:22" x14ac:dyDescent="0.25">
      <c r="A605" s="106"/>
      <c r="F605" s="105"/>
      <c r="H605" s="105"/>
      <c r="J605" s="105"/>
      <c r="K605" s="2"/>
      <c r="L605" s="105"/>
      <c r="M605" s="2"/>
      <c r="N605" s="105"/>
      <c r="O605" s="2"/>
      <c r="P605" s="2"/>
      <c r="Q605" s="2"/>
      <c r="R605" s="2"/>
      <c r="S605" s="2"/>
      <c r="T605" s="2"/>
      <c r="U605" s="2"/>
      <c r="V605" s="105"/>
    </row>
    <row r="606" spans="1:22" x14ac:dyDescent="0.25">
      <c r="A606" s="106"/>
      <c r="F606" s="105"/>
      <c r="H606" s="105"/>
      <c r="J606" s="105"/>
      <c r="K606" s="2"/>
      <c r="L606" s="105"/>
      <c r="M606" s="2"/>
      <c r="N606" s="105"/>
      <c r="O606" s="2"/>
      <c r="P606" s="2"/>
      <c r="Q606" s="2"/>
      <c r="R606" s="2"/>
      <c r="S606" s="2"/>
      <c r="T606" s="2"/>
      <c r="U606" s="2"/>
      <c r="V606" s="105"/>
    </row>
    <row r="607" spans="1:22" x14ac:dyDescent="0.25">
      <c r="A607" s="106"/>
      <c r="F607" s="105"/>
      <c r="H607" s="105"/>
      <c r="J607" s="105"/>
      <c r="K607" s="2"/>
      <c r="L607" s="105"/>
      <c r="M607" s="2"/>
      <c r="N607" s="105"/>
      <c r="O607" s="2"/>
      <c r="P607" s="2"/>
      <c r="Q607" s="2"/>
      <c r="R607" s="2"/>
      <c r="S607" s="2"/>
      <c r="T607" s="2"/>
      <c r="U607" s="2"/>
      <c r="V607" s="105"/>
    </row>
    <row r="608" spans="1:22" x14ac:dyDescent="0.25">
      <c r="A608" s="106"/>
      <c r="F608" s="105"/>
      <c r="H608" s="105"/>
      <c r="J608" s="105"/>
      <c r="K608" s="2"/>
      <c r="L608" s="105"/>
      <c r="M608" s="2"/>
      <c r="N608" s="105"/>
      <c r="O608" s="2"/>
      <c r="P608" s="2"/>
      <c r="Q608" s="2"/>
      <c r="R608" s="2"/>
      <c r="S608" s="2"/>
      <c r="T608" s="2"/>
      <c r="U608" s="2"/>
      <c r="V608" s="105"/>
    </row>
    <row r="609" spans="1:22" x14ac:dyDescent="0.25">
      <c r="A609" s="106"/>
      <c r="F609" s="105"/>
      <c r="H609" s="105"/>
      <c r="J609" s="105"/>
      <c r="K609" s="2"/>
      <c r="L609" s="105"/>
      <c r="M609" s="2"/>
      <c r="N609" s="105"/>
      <c r="O609" s="2"/>
      <c r="P609" s="2"/>
      <c r="Q609" s="2"/>
      <c r="R609" s="2"/>
      <c r="S609" s="2"/>
      <c r="T609" s="2"/>
      <c r="U609" s="2"/>
      <c r="V609" s="105"/>
    </row>
    <row r="610" spans="1:22" x14ac:dyDescent="0.25">
      <c r="A610" s="106"/>
      <c r="F610" s="105"/>
      <c r="H610" s="105"/>
      <c r="J610" s="105"/>
      <c r="K610" s="2"/>
      <c r="L610" s="105"/>
      <c r="M610" s="2"/>
      <c r="N610" s="105"/>
      <c r="O610" s="2"/>
      <c r="P610" s="2"/>
      <c r="Q610" s="2"/>
      <c r="R610" s="2"/>
      <c r="S610" s="2"/>
      <c r="T610" s="2"/>
      <c r="U610" s="2"/>
      <c r="V610" s="105"/>
    </row>
    <row r="611" spans="1:22" x14ac:dyDescent="0.25">
      <c r="A611" s="106"/>
      <c r="F611" s="105"/>
      <c r="H611" s="105"/>
      <c r="J611" s="105"/>
      <c r="K611" s="2"/>
      <c r="L611" s="105"/>
      <c r="M611" s="2"/>
      <c r="N611" s="105"/>
      <c r="O611" s="2"/>
      <c r="P611" s="2"/>
      <c r="Q611" s="2"/>
      <c r="R611" s="2"/>
      <c r="S611" s="2"/>
      <c r="T611" s="2"/>
      <c r="U611" s="2"/>
      <c r="V611" s="105"/>
    </row>
    <row r="612" spans="1:22" x14ac:dyDescent="0.25">
      <c r="A612" s="106"/>
      <c r="F612" s="105"/>
      <c r="H612" s="105"/>
      <c r="J612" s="105"/>
      <c r="K612" s="2"/>
      <c r="L612" s="105"/>
      <c r="M612" s="2"/>
      <c r="N612" s="105"/>
      <c r="O612" s="2"/>
      <c r="P612" s="2"/>
      <c r="Q612" s="2"/>
      <c r="R612" s="2"/>
      <c r="S612" s="2"/>
      <c r="T612" s="2"/>
      <c r="U612" s="2"/>
      <c r="V612" s="105"/>
    </row>
    <row r="613" spans="1:22" x14ac:dyDescent="0.25">
      <c r="A613" s="106"/>
      <c r="F613" s="105"/>
      <c r="H613" s="105"/>
      <c r="J613" s="105"/>
      <c r="K613" s="2"/>
      <c r="L613" s="105"/>
      <c r="M613" s="2"/>
      <c r="N613" s="105"/>
      <c r="O613" s="2"/>
      <c r="P613" s="2"/>
      <c r="Q613" s="2"/>
      <c r="R613" s="2"/>
      <c r="S613" s="2"/>
      <c r="T613" s="2"/>
      <c r="U613" s="2"/>
      <c r="V613" s="105"/>
    </row>
    <row r="614" spans="1:22" x14ac:dyDescent="0.25">
      <c r="A614" s="106"/>
      <c r="F614" s="105"/>
      <c r="H614" s="105"/>
      <c r="J614" s="105"/>
      <c r="K614" s="2"/>
      <c r="L614" s="105"/>
      <c r="M614" s="2"/>
      <c r="N614" s="105"/>
      <c r="O614" s="2"/>
      <c r="P614" s="2"/>
      <c r="Q614" s="2"/>
      <c r="R614" s="2"/>
      <c r="S614" s="2"/>
      <c r="T614" s="2"/>
      <c r="U614" s="2"/>
      <c r="V614" s="105"/>
    </row>
    <row r="615" spans="1:22" x14ac:dyDescent="0.25">
      <c r="A615" s="106"/>
      <c r="F615" s="105"/>
      <c r="H615" s="105"/>
      <c r="J615" s="105"/>
      <c r="K615" s="2"/>
      <c r="L615" s="105"/>
      <c r="M615" s="2"/>
      <c r="N615" s="105"/>
      <c r="O615" s="2"/>
      <c r="P615" s="2"/>
      <c r="Q615" s="2"/>
      <c r="R615" s="2"/>
      <c r="S615" s="2"/>
      <c r="T615" s="2"/>
      <c r="U615" s="2"/>
      <c r="V615" s="105"/>
    </row>
    <row r="616" spans="1:22" x14ac:dyDescent="0.25">
      <c r="A616" s="106"/>
      <c r="F616" s="105"/>
      <c r="H616" s="105"/>
      <c r="J616" s="105"/>
      <c r="K616" s="2"/>
      <c r="L616" s="105"/>
      <c r="M616" s="2"/>
      <c r="N616" s="105"/>
      <c r="O616" s="2"/>
      <c r="P616" s="2"/>
      <c r="Q616" s="2"/>
      <c r="R616" s="2"/>
      <c r="S616" s="2"/>
      <c r="T616" s="2"/>
      <c r="U616" s="2"/>
      <c r="V616" s="105"/>
    </row>
    <row r="617" spans="1:22" x14ac:dyDescent="0.25">
      <c r="A617" s="106"/>
      <c r="F617" s="105"/>
      <c r="H617" s="105"/>
      <c r="J617" s="105"/>
      <c r="K617" s="2"/>
      <c r="L617" s="105"/>
      <c r="M617" s="2"/>
      <c r="N617" s="105"/>
      <c r="O617" s="2"/>
      <c r="P617" s="2"/>
      <c r="Q617" s="2"/>
      <c r="R617" s="2"/>
      <c r="S617" s="2"/>
      <c r="T617" s="2"/>
      <c r="U617" s="2"/>
      <c r="V617" s="105"/>
    </row>
    <row r="618" spans="1:22" x14ac:dyDescent="0.25">
      <c r="A618" s="106"/>
      <c r="F618" s="105"/>
      <c r="H618" s="105"/>
      <c r="J618" s="105"/>
      <c r="K618" s="2"/>
      <c r="L618" s="105"/>
      <c r="M618" s="2"/>
      <c r="N618" s="105"/>
      <c r="O618" s="2"/>
      <c r="P618" s="2"/>
      <c r="Q618" s="2"/>
      <c r="R618" s="2"/>
      <c r="S618" s="2"/>
      <c r="T618" s="2"/>
      <c r="U618" s="2"/>
      <c r="V618" s="105"/>
    </row>
    <row r="619" spans="1:22" x14ac:dyDescent="0.25">
      <c r="A619" s="106"/>
      <c r="F619" s="105"/>
      <c r="H619" s="105"/>
      <c r="J619" s="105"/>
      <c r="K619" s="2"/>
      <c r="L619" s="105"/>
      <c r="M619" s="2"/>
      <c r="N619" s="105"/>
      <c r="O619" s="2"/>
      <c r="P619" s="2"/>
      <c r="Q619" s="2"/>
      <c r="R619" s="2"/>
      <c r="S619" s="2"/>
      <c r="T619" s="2"/>
      <c r="U619" s="2"/>
      <c r="V619" s="105"/>
    </row>
    <row r="620" spans="1:22" x14ac:dyDescent="0.25">
      <c r="A620" s="106"/>
      <c r="F620" s="105"/>
      <c r="H620" s="105"/>
      <c r="J620" s="105"/>
      <c r="K620" s="2"/>
      <c r="L620" s="105"/>
      <c r="M620" s="2"/>
      <c r="N620" s="105"/>
      <c r="O620" s="2"/>
      <c r="P620" s="2"/>
      <c r="Q620" s="2"/>
      <c r="R620" s="2"/>
      <c r="S620" s="2"/>
      <c r="T620" s="2"/>
      <c r="U620" s="2"/>
      <c r="V620" s="105"/>
    </row>
    <row r="621" spans="1:22" x14ac:dyDescent="0.25">
      <c r="A621" s="106"/>
      <c r="F621" s="105"/>
      <c r="H621" s="105"/>
      <c r="J621" s="105"/>
      <c r="K621" s="2"/>
      <c r="L621" s="105"/>
      <c r="M621" s="2"/>
      <c r="N621" s="105"/>
      <c r="O621" s="2"/>
      <c r="P621" s="2"/>
      <c r="Q621" s="2"/>
      <c r="R621" s="2"/>
      <c r="S621" s="2"/>
      <c r="T621" s="2"/>
      <c r="U621" s="2"/>
      <c r="V621" s="105"/>
    </row>
    <row r="622" spans="1:22" x14ac:dyDescent="0.25">
      <c r="A622" s="106"/>
      <c r="F622" s="105"/>
      <c r="H622" s="105"/>
      <c r="J622" s="105"/>
      <c r="K622" s="2"/>
      <c r="L622" s="105"/>
      <c r="M622" s="2"/>
      <c r="N622" s="105"/>
      <c r="O622" s="2"/>
      <c r="P622" s="2"/>
      <c r="Q622" s="2"/>
      <c r="R622" s="2"/>
      <c r="S622" s="2"/>
      <c r="T622" s="2"/>
      <c r="U622" s="2"/>
      <c r="V622" s="105"/>
    </row>
    <row r="623" spans="1:22" x14ac:dyDescent="0.25">
      <c r="A623" s="106"/>
      <c r="F623" s="105"/>
      <c r="H623" s="105"/>
      <c r="J623" s="105"/>
      <c r="K623" s="2"/>
      <c r="L623" s="105"/>
      <c r="M623" s="2"/>
      <c r="N623" s="105"/>
      <c r="O623" s="2"/>
      <c r="P623" s="2"/>
      <c r="Q623" s="2"/>
      <c r="R623" s="2"/>
      <c r="S623" s="2"/>
      <c r="T623" s="2"/>
      <c r="U623" s="2"/>
      <c r="V623" s="105"/>
    </row>
    <row r="624" spans="1:22" x14ac:dyDescent="0.25">
      <c r="A624" s="106"/>
      <c r="F624" s="105"/>
      <c r="H624" s="105"/>
      <c r="J624" s="105"/>
      <c r="K624" s="2"/>
      <c r="L624" s="105"/>
      <c r="M624" s="2"/>
      <c r="N624" s="105"/>
      <c r="O624" s="2"/>
      <c r="P624" s="2"/>
      <c r="Q624" s="2"/>
      <c r="R624" s="2"/>
      <c r="S624" s="2"/>
      <c r="T624" s="2"/>
      <c r="U624" s="2"/>
      <c r="V624" s="105"/>
    </row>
    <row r="625" spans="1:22" x14ac:dyDescent="0.25">
      <c r="A625" s="106"/>
      <c r="F625" s="105"/>
      <c r="H625" s="105"/>
      <c r="J625" s="105"/>
      <c r="K625" s="2"/>
      <c r="L625" s="105"/>
      <c r="M625" s="2"/>
      <c r="N625" s="105"/>
      <c r="O625" s="2"/>
      <c r="P625" s="2"/>
      <c r="Q625" s="2"/>
      <c r="R625" s="2"/>
      <c r="S625" s="2"/>
      <c r="T625" s="2"/>
      <c r="U625" s="2"/>
      <c r="V625" s="105"/>
    </row>
    <row r="626" spans="1:22" x14ac:dyDescent="0.25">
      <c r="A626" s="106"/>
      <c r="F626" s="105"/>
      <c r="H626" s="105"/>
      <c r="J626" s="105"/>
      <c r="K626" s="2"/>
      <c r="L626" s="105"/>
      <c r="M626" s="2"/>
      <c r="N626" s="105"/>
      <c r="O626" s="2"/>
      <c r="P626" s="2"/>
      <c r="Q626" s="2"/>
      <c r="R626" s="2"/>
      <c r="S626" s="2"/>
      <c r="T626" s="2"/>
      <c r="U626" s="2"/>
      <c r="V626" s="105"/>
    </row>
    <row r="627" spans="1:22" x14ac:dyDescent="0.25">
      <c r="A627" s="106"/>
      <c r="F627" s="105"/>
      <c r="H627" s="105"/>
      <c r="J627" s="105"/>
      <c r="K627" s="2"/>
      <c r="L627" s="105"/>
      <c r="M627" s="2"/>
      <c r="N627" s="105"/>
      <c r="O627" s="2"/>
      <c r="P627" s="2"/>
      <c r="Q627" s="2"/>
      <c r="R627" s="2"/>
      <c r="S627" s="2"/>
      <c r="T627" s="2"/>
      <c r="U627" s="2"/>
      <c r="V627" s="105"/>
    </row>
    <row r="628" spans="1:22" x14ac:dyDescent="0.25">
      <c r="A628" s="106"/>
      <c r="F628" s="105"/>
      <c r="H628" s="105"/>
      <c r="J628" s="105"/>
      <c r="K628" s="2"/>
      <c r="L628" s="105"/>
      <c r="M628" s="2"/>
      <c r="N628" s="105"/>
      <c r="O628" s="2"/>
      <c r="P628" s="2"/>
      <c r="Q628" s="2"/>
      <c r="R628" s="2"/>
      <c r="S628" s="2"/>
      <c r="T628" s="2"/>
      <c r="U628" s="2"/>
      <c r="V628" s="105"/>
    </row>
    <row r="629" spans="1:22" x14ac:dyDescent="0.25">
      <c r="A629" s="106"/>
      <c r="F629" s="105"/>
      <c r="H629" s="105"/>
      <c r="J629" s="105"/>
      <c r="K629" s="2"/>
      <c r="L629" s="105"/>
      <c r="M629" s="2"/>
      <c r="N629" s="105"/>
      <c r="O629" s="2"/>
      <c r="P629" s="2"/>
      <c r="Q629" s="2"/>
      <c r="R629" s="2"/>
      <c r="S629" s="2"/>
      <c r="T629" s="2"/>
      <c r="U629" s="2"/>
      <c r="V629" s="105"/>
    </row>
    <row r="630" spans="1:22" x14ac:dyDescent="0.25">
      <c r="A630" s="106"/>
      <c r="F630" s="105"/>
      <c r="H630" s="105"/>
      <c r="J630" s="105"/>
      <c r="K630" s="2"/>
      <c r="L630" s="105"/>
      <c r="M630" s="2"/>
      <c r="N630" s="105"/>
      <c r="O630" s="2"/>
      <c r="P630" s="2"/>
      <c r="Q630" s="2"/>
      <c r="R630" s="2"/>
      <c r="S630" s="2"/>
      <c r="T630" s="2"/>
      <c r="U630" s="2"/>
      <c r="V630" s="105"/>
    </row>
    <row r="631" spans="1:22" x14ac:dyDescent="0.25">
      <c r="A631" s="106"/>
      <c r="F631" s="105"/>
      <c r="H631" s="105"/>
      <c r="J631" s="105"/>
      <c r="K631" s="2"/>
      <c r="L631" s="105"/>
      <c r="M631" s="2"/>
      <c r="N631" s="105"/>
      <c r="O631" s="2"/>
      <c r="P631" s="2"/>
      <c r="Q631" s="2"/>
      <c r="R631" s="2"/>
      <c r="S631" s="2"/>
      <c r="T631" s="2"/>
      <c r="U631" s="2"/>
      <c r="V631" s="105"/>
    </row>
    <row r="632" spans="1:22" x14ac:dyDescent="0.25">
      <c r="A632" s="106"/>
      <c r="F632" s="105"/>
      <c r="H632" s="105"/>
      <c r="J632" s="105"/>
      <c r="K632" s="2"/>
      <c r="L632" s="105"/>
      <c r="M632" s="2"/>
      <c r="N632" s="105"/>
      <c r="O632" s="2"/>
      <c r="P632" s="2"/>
      <c r="Q632" s="2"/>
      <c r="R632" s="2"/>
      <c r="S632" s="2"/>
      <c r="T632" s="2"/>
      <c r="U632" s="2"/>
      <c r="V632" s="105"/>
    </row>
    <row r="633" spans="1:22" x14ac:dyDescent="0.25">
      <c r="A633" s="106"/>
      <c r="F633" s="105"/>
      <c r="H633" s="105"/>
      <c r="J633" s="105"/>
      <c r="K633" s="2"/>
      <c r="L633" s="105"/>
      <c r="M633" s="2"/>
      <c r="N633" s="105"/>
      <c r="O633" s="2"/>
      <c r="P633" s="2"/>
      <c r="Q633" s="2"/>
      <c r="R633" s="2"/>
      <c r="S633" s="2"/>
      <c r="T633" s="2"/>
      <c r="U633" s="2"/>
      <c r="V633" s="105"/>
    </row>
    <row r="634" spans="1:22" x14ac:dyDescent="0.25">
      <c r="A634" s="106"/>
      <c r="F634" s="105"/>
      <c r="H634" s="105"/>
      <c r="J634" s="105"/>
      <c r="K634" s="2"/>
      <c r="L634" s="105"/>
      <c r="M634" s="2"/>
      <c r="N634" s="105"/>
      <c r="O634" s="2"/>
      <c r="P634" s="2"/>
      <c r="Q634" s="2"/>
      <c r="R634" s="2"/>
      <c r="S634" s="2"/>
      <c r="T634" s="2"/>
      <c r="U634" s="2"/>
      <c r="V634" s="105"/>
    </row>
    <row r="635" spans="1:22" x14ac:dyDescent="0.25">
      <c r="A635" s="106"/>
      <c r="F635" s="105"/>
      <c r="H635" s="105"/>
      <c r="J635" s="105"/>
      <c r="K635" s="2"/>
      <c r="L635" s="105"/>
      <c r="M635" s="2"/>
      <c r="N635" s="105"/>
      <c r="O635" s="2"/>
      <c r="P635" s="2"/>
      <c r="Q635" s="2"/>
      <c r="R635" s="2"/>
      <c r="S635" s="2"/>
      <c r="T635" s="2"/>
      <c r="U635" s="2"/>
      <c r="V635" s="105"/>
    </row>
    <row r="636" spans="1:22" x14ac:dyDescent="0.25">
      <c r="A636" s="106"/>
      <c r="F636" s="105"/>
      <c r="H636" s="105"/>
      <c r="J636" s="105"/>
      <c r="K636" s="2"/>
      <c r="L636" s="105"/>
      <c r="M636" s="2"/>
      <c r="N636" s="105"/>
      <c r="O636" s="2"/>
      <c r="P636" s="2"/>
      <c r="Q636" s="2"/>
      <c r="R636" s="2"/>
      <c r="S636" s="2"/>
      <c r="T636" s="2"/>
      <c r="U636" s="2"/>
      <c r="V636" s="105"/>
    </row>
    <row r="637" spans="1:22" x14ac:dyDescent="0.25">
      <c r="A637" s="106"/>
      <c r="F637" s="105"/>
      <c r="H637" s="105"/>
      <c r="J637" s="105"/>
      <c r="K637" s="2"/>
      <c r="L637" s="105"/>
      <c r="M637" s="2"/>
      <c r="N637" s="105"/>
      <c r="O637" s="2"/>
      <c r="P637" s="2"/>
      <c r="Q637" s="2"/>
      <c r="R637" s="2"/>
      <c r="S637" s="2"/>
      <c r="T637" s="2"/>
      <c r="U637" s="2"/>
      <c r="V637" s="105"/>
    </row>
    <row r="638" spans="1:22" x14ac:dyDescent="0.25">
      <c r="A638" s="106"/>
      <c r="F638" s="105"/>
      <c r="H638" s="105"/>
      <c r="J638" s="105"/>
      <c r="K638" s="2"/>
      <c r="L638" s="105"/>
      <c r="M638" s="2"/>
      <c r="N638" s="105"/>
      <c r="O638" s="2"/>
      <c r="P638" s="2"/>
      <c r="Q638" s="2"/>
      <c r="R638" s="2"/>
      <c r="S638" s="2"/>
      <c r="T638" s="2"/>
      <c r="U638" s="2"/>
      <c r="V638" s="105"/>
    </row>
    <row r="639" spans="1:22" x14ac:dyDescent="0.25">
      <c r="A639" s="106"/>
      <c r="F639" s="105"/>
      <c r="H639" s="105"/>
      <c r="J639" s="105"/>
      <c r="K639" s="2"/>
      <c r="L639" s="105"/>
      <c r="M639" s="2"/>
      <c r="N639" s="105"/>
      <c r="O639" s="2"/>
      <c r="P639" s="2"/>
      <c r="Q639" s="2"/>
      <c r="R639" s="2"/>
      <c r="S639" s="2"/>
      <c r="T639" s="2"/>
      <c r="U639" s="2"/>
      <c r="V639" s="105"/>
    </row>
    <row r="640" spans="1:22" x14ac:dyDescent="0.25">
      <c r="A640" s="106"/>
      <c r="F640" s="105"/>
      <c r="H640" s="105"/>
      <c r="J640" s="105"/>
      <c r="K640" s="2"/>
      <c r="L640" s="105"/>
      <c r="M640" s="2"/>
      <c r="N640" s="105"/>
      <c r="O640" s="2"/>
      <c r="P640" s="2"/>
      <c r="Q640" s="2"/>
      <c r="R640" s="2"/>
      <c r="S640" s="2"/>
      <c r="T640" s="2"/>
      <c r="U640" s="2"/>
      <c r="V640" s="105"/>
    </row>
    <row r="641" spans="1:22" x14ac:dyDescent="0.25">
      <c r="A641" s="106"/>
      <c r="F641" s="105"/>
      <c r="H641" s="105"/>
      <c r="J641" s="105"/>
      <c r="K641" s="2"/>
      <c r="L641" s="105"/>
      <c r="M641" s="2"/>
      <c r="N641" s="105"/>
      <c r="O641" s="2"/>
      <c r="P641" s="2"/>
      <c r="Q641" s="2"/>
      <c r="R641" s="2"/>
      <c r="S641" s="2"/>
      <c r="T641" s="2"/>
      <c r="U641" s="2"/>
      <c r="V641" s="105"/>
    </row>
    <row r="642" spans="1:22" x14ac:dyDescent="0.25">
      <c r="A642" s="106"/>
      <c r="F642" s="105"/>
      <c r="H642" s="105"/>
      <c r="J642" s="105"/>
      <c r="K642" s="2"/>
      <c r="L642" s="105"/>
      <c r="M642" s="2"/>
      <c r="N642" s="105"/>
      <c r="O642" s="2"/>
      <c r="P642" s="2"/>
      <c r="Q642" s="2"/>
      <c r="R642" s="2"/>
      <c r="S642" s="2"/>
      <c r="T642" s="2"/>
      <c r="U642" s="2"/>
      <c r="V642" s="105"/>
    </row>
    <row r="643" spans="1:22" x14ac:dyDescent="0.25">
      <c r="A643" s="106"/>
      <c r="F643" s="105"/>
      <c r="H643" s="105"/>
      <c r="J643" s="105"/>
      <c r="K643" s="2"/>
      <c r="L643" s="105"/>
      <c r="M643" s="2"/>
      <c r="N643" s="105"/>
      <c r="O643" s="2"/>
      <c r="P643" s="2"/>
      <c r="Q643" s="2"/>
      <c r="R643" s="2"/>
      <c r="S643" s="2"/>
      <c r="T643" s="2"/>
      <c r="U643" s="2"/>
      <c r="V643" s="105"/>
    </row>
    <row r="644" spans="1:22" x14ac:dyDescent="0.25">
      <c r="A644" s="106"/>
      <c r="F644" s="105"/>
      <c r="H644" s="105"/>
      <c r="J644" s="105"/>
      <c r="K644" s="2"/>
      <c r="L644" s="105"/>
      <c r="M644" s="2"/>
      <c r="N644" s="105"/>
      <c r="O644" s="2"/>
      <c r="P644" s="2"/>
      <c r="Q644" s="2"/>
      <c r="R644" s="2"/>
      <c r="S644" s="2"/>
      <c r="T644" s="2"/>
      <c r="U644" s="2"/>
      <c r="V644" s="105"/>
    </row>
    <row r="645" spans="1:22" x14ac:dyDescent="0.25">
      <c r="A645" s="106"/>
      <c r="F645" s="105"/>
      <c r="H645" s="105"/>
      <c r="J645" s="105"/>
      <c r="K645" s="2"/>
      <c r="L645" s="105"/>
      <c r="M645" s="2"/>
      <c r="N645" s="105"/>
      <c r="O645" s="2"/>
      <c r="P645" s="2"/>
      <c r="Q645" s="2"/>
      <c r="R645" s="2"/>
      <c r="S645" s="2"/>
      <c r="T645" s="2"/>
      <c r="U645" s="2"/>
      <c r="V645" s="105"/>
    </row>
    <row r="646" spans="1:22" x14ac:dyDescent="0.25">
      <c r="A646" s="106"/>
      <c r="F646" s="105"/>
      <c r="H646" s="105"/>
      <c r="J646" s="105"/>
      <c r="K646" s="2"/>
      <c r="L646" s="105"/>
      <c r="M646" s="2"/>
      <c r="N646" s="105"/>
      <c r="O646" s="2"/>
      <c r="P646" s="2"/>
      <c r="Q646" s="2"/>
      <c r="R646" s="2"/>
      <c r="S646" s="2"/>
      <c r="T646" s="2"/>
      <c r="U646" s="2"/>
      <c r="V646" s="105"/>
    </row>
    <row r="647" spans="1:22" x14ac:dyDescent="0.25">
      <c r="A647" s="106"/>
      <c r="F647" s="105"/>
      <c r="H647" s="105"/>
      <c r="J647" s="105"/>
      <c r="K647" s="2"/>
      <c r="L647" s="105"/>
      <c r="M647" s="2"/>
      <c r="N647" s="105"/>
      <c r="O647" s="2"/>
      <c r="P647" s="2"/>
      <c r="Q647" s="2"/>
      <c r="R647" s="2"/>
      <c r="S647" s="2"/>
      <c r="T647" s="2"/>
      <c r="U647" s="2"/>
      <c r="V647" s="105"/>
    </row>
    <row r="648" spans="1:22" x14ac:dyDescent="0.25">
      <c r="A648" s="106"/>
      <c r="F648" s="105"/>
      <c r="H648" s="105"/>
      <c r="J648" s="105"/>
      <c r="K648" s="2"/>
      <c r="L648" s="105"/>
      <c r="M648" s="2"/>
      <c r="N648" s="105"/>
      <c r="O648" s="2"/>
      <c r="P648" s="2"/>
      <c r="Q648" s="2"/>
      <c r="R648" s="2"/>
      <c r="S648" s="2"/>
      <c r="T648" s="2"/>
      <c r="U648" s="2"/>
      <c r="V648" s="105"/>
    </row>
    <row r="649" spans="1:22" x14ac:dyDescent="0.25">
      <c r="A649" s="106"/>
      <c r="F649" s="105"/>
      <c r="H649" s="105"/>
      <c r="J649" s="105"/>
      <c r="K649" s="2"/>
      <c r="L649" s="105"/>
      <c r="M649" s="2"/>
      <c r="N649" s="105"/>
      <c r="O649" s="2"/>
      <c r="P649" s="2"/>
      <c r="Q649" s="2"/>
      <c r="R649" s="2"/>
      <c r="S649" s="2"/>
      <c r="T649" s="2"/>
      <c r="U649" s="2"/>
      <c r="V649" s="105"/>
    </row>
    <row r="650" spans="1:22" x14ac:dyDescent="0.25">
      <c r="A650" s="106"/>
      <c r="F650" s="105"/>
      <c r="H650" s="105"/>
      <c r="J650" s="105"/>
      <c r="K650" s="2"/>
      <c r="L650" s="105"/>
      <c r="M650" s="2"/>
      <c r="N650" s="105"/>
      <c r="O650" s="2"/>
      <c r="P650" s="2"/>
      <c r="Q650" s="2"/>
      <c r="R650" s="2"/>
      <c r="S650" s="2"/>
      <c r="T650" s="2"/>
      <c r="U650" s="2"/>
      <c r="V650" s="105"/>
    </row>
    <row r="651" spans="1:22" x14ac:dyDescent="0.25">
      <c r="A651" s="106"/>
      <c r="F651" s="105"/>
      <c r="H651" s="105"/>
      <c r="J651" s="105"/>
      <c r="K651" s="2"/>
      <c r="L651" s="105"/>
      <c r="M651" s="2"/>
      <c r="N651" s="105"/>
      <c r="O651" s="2"/>
      <c r="P651" s="2"/>
      <c r="Q651" s="2"/>
      <c r="R651" s="2"/>
      <c r="S651" s="2"/>
      <c r="T651" s="2"/>
      <c r="U651" s="2"/>
      <c r="V651" s="105"/>
    </row>
    <row r="652" spans="1:22" x14ac:dyDescent="0.25">
      <c r="A652" s="106"/>
      <c r="F652" s="105"/>
      <c r="H652" s="105"/>
      <c r="J652" s="105"/>
      <c r="K652" s="2"/>
      <c r="L652" s="105"/>
      <c r="M652" s="2"/>
      <c r="N652" s="105"/>
      <c r="O652" s="2"/>
      <c r="P652" s="2"/>
      <c r="Q652" s="2"/>
      <c r="R652" s="2"/>
      <c r="S652" s="2"/>
      <c r="T652" s="2"/>
      <c r="U652" s="2"/>
      <c r="V652" s="105"/>
    </row>
    <row r="653" spans="1:22" x14ac:dyDescent="0.25">
      <c r="A653" s="106"/>
      <c r="F653" s="105"/>
      <c r="H653" s="105"/>
      <c r="J653" s="105"/>
      <c r="K653" s="2"/>
      <c r="L653" s="105"/>
      <c r="M653" s="2"/>
      <c r="N653" s="105"/>
      <c r="O653" s="2"/>
      <c r="P653" s="2"/>
      <c r="Q653" s="2"/>
      <c r="R653" s="2"/>
      <c r="S653" s="2"/>
      <c r="T653" s="2"/>
      <c r="U653" s="2"/>
      <c r="V653" s="105"/>
    </row>
    <row r="654" spans="1:22" x14ac:dyDescent="0.25">
      <c r="A654" s="106"/>
      <c r="F654" s="105"/>
      <c r="H654" s="105"/>
      <c r="J654" s="105"/>
      <c r="K654" s="2"/>
      <c r="L654" s="105"/>
      <c r="M654" s="2"/>
      <c r="N654" s="105"/>
      <c r="O654" s="2"/>
      <c r="P654" s="2"/>
      <c r="Q654" s="2"/>
      <c r="R654" s="2"/>
      <c r="S654" s="2"/>
      <c r="T654" s="2"/>
      <c r="U654" s="2"/>
      <c r="V654" s="105"/>
    </row>
    <row r="655" spans="1:22" x14ac:dyDescent="0.25">
      <c r="A655" s="106"/>
      <c r="F655" s="105"/>
      <c r="H655" s="105"/>
      <c r="J655" s="105"/>
      <c r="K655" s="2"/>
      <c r="L655" s="105"/>
      <c r="M655" s="2"/>
      <c r="N655" s="105"/>
      <c r="O655" s="2"/>
      <c r="P655" s="2"/>
      <c r="Q655" s="2"/>
      <c r="R655" s="2"/>
      <c r="S655" s="2"/>
      <c r="T655" s="2"/>
      <c r="U655" s="2"/>
      <c r="V655" s="105"/>
    </row>
    <row r="656" spans="1:22" x14ac:dyDescent="0.25">
      <c r="A656" s="106"/>
      <c r="F656" s="105"/>
      <c r="H656" s="105"/>
      <c r="J656" s="105"/>
      <c r="K656" s="2"/>
      <c r="L656" s="105"/>
      <c r="M656" s="2"/>
      <c r="N656" s="105"/>
      <c r="O656" s="2"/>
      <c r="P656" s="2"/>
      <c r="Q656" s="2"/>
      <c r="R656" s="2"/>
      <c r="S656" s="2"/>
      <c r="T656" s="2"/>
      <c r="U656" s="2"/>
      <c r="V656" s="105"/>
    </row>
    <row r="657" spans="1:22" x14ac:dyDescent="0.25">
      <c r="A657" s="106"/>
      <c r="F657" s="105"/>
      <c r="H657" s="105"/>
      <c r="J657" s="105"/>
      <c r="K657" s="2"/>
      <c r="L657" s="105"/>
      <c r="M657" s="2"/>
      <c r="N657" s="105"/>
      <c r="O657" s="2"/>
      <c r="P657" s="2"/>
      <c r="Q657" s="2"/>
      <c r="R657" s="2"/>
      <c r="S657" s="2"/>
      <c r="T657" s="2"/>
      <c r="U657" s="2"/>
      <c r="V657" s="105"/>
    </row>
    <row r="658" spans="1:22" x14ac:dyDescent="0.25">
      <c r="A658" s="106"/>
      <c r="F658" s="105"/>
      <c r="H658" s="105"/>
      <c r="J658" s="105"/>
      <c r="K658" s="2"/>
      <c r="L658" s="105"/>
      <c r="M658" s="2"/>
      <c r="N658" s="105"/>
      <c r="O658" s="2"/>
      <c r="P658" s="2"/>
      <c r="Q658" s="2"/>
      <c r="R658" s="2"/>
      <c r="S658" s="2"/>
      <c r="T658" s="2"/>
      <c r="U658" s="2"/>
      <c r="V658" s="105"/>
    </row>
    <row r="659" spans="1:22" x14ac:dyDescent="0.25">
      <c r="A659" s="106"/>
      <c r="F659" s="105"/>
      <c r="H659" s="105"/>
      <c r="J659" s="105"/>
      <c r="K659" s="2"/>
      <c r="L659" s="105"/>
      <c r="M659" s="2"/>
      <c r="N659" s="105"/>
      <c r="O659" s="2"/>
      <c r="P659" s="2"/>
      <c r="Q659" s="2"/>
      <c r="R659" s="2"/>
      <c r="S659" s="2"/>
      <c r="T659" s="2"/>
      <c r="U659" s="2"/>
      <c r="V659" s="105"/>
    </row>
    <row r="660" spans="1:22" x14ac:dyDescent="0.25">
      <c r="A660" s="106"/>
      <c r="F660" s="105"/>
      <c r="H660" s="105"/>
      <c r="J660" s="105"/>
      <c r="K660" s="2"/>
      <c r="L660" s="105"/>
      <c r="M660" s="2"/>
      <c r="N660" s="105"/>
      <c r="O660" s="2"/>
      <c r="P660" s="2"/>
      <c r="Q660" s="2"/>
      <c r="R660" s="2"/>
      <c r="S660" s="2"/>
      <c r="T660" s="2"/>
      <c r="U660" s="2"/>
      <c r="V660" s="105"/>
    </row>
    <row r="661" spans="1:22" x14ac:dyDescent="0.25">
      <c r="A661" s="106"/>
      <c r="F661" s="105"/>
      <c r="H661" s="105"/>
      <c r="J661" s="105"/>
      <c r="K661" s="2"/>
      <c r="L661" s="105"/>
      <c r="M661" s="2"/>
      <c r="N661" s="105"/>
      <c r="O661" s="2"/>
      <c r="P661" s="2"/>
      <c r="Q661" s="2"/>
      <c r="R661" s="2"/>
      <c r="S661" s="2"/>
      <c r="T661" s="2"/>
      <c r="U661" s="2"/>
      <c r="V661" s="105"/>
    </row>
    <row r="662" spans="1:22" x14ac:dyDescent="0.25">
      <c r="A662" s="106"/>
      <c r="F662" s="105"/>
      <c r="H662" s="105"/>
      <c r="J662" s="105"/>
      <c r="K662" s="2"/>
      <c r="L662" s="105"/>
      <c r="M662" s="2"/>
      <c r="N662" s="105"/>
      <c r="O662" s="2"/>
      <c r="P662" s="2"/>
      <c r="Q662" s="2"/>
      <c r="R662" s="2"/>
      <c r="S662" s="2"/>
      <c r="T662" s="2"/>
      <c r="U662" s="2"/>
      <c r="V662" s="105"/>
    </row>
    <row r="663" spans="1:22" x14ac:dyDescent="0.25">
      <c r="A663" s="106"/>
      <c r="F663" s="105"/>
      <c r="H663" s="105"/>
      <c r="J663" s="105"/>
      <c r="K663" s="2"/>
      <c r="L663" s="105"/>
      <c r="M663" s="2"/>
      <c r="N663" s="105"/>
      <c r="O663" s="2"/>
      <c r="P663" s="2"/>
      <c r="Q663" s="2"/>
      <c r="R663" s="2"/>
      <c r="S663" s="2"/>
      <c r="T663" s="2"/>
      <c r="U663" s="2"/>
      <c r="V663" s="105"/>
    </row>
    <row r="664" spans="1:22" x14ac:dyDescent="0.25">
      <c r="A664" s="106"/>
      <c r="F664" s="105"/>
      <c r="H664" s="105"/>
      <c r="J664" s="105"/>
      <c r="K664" s="2"/>
      <c r="L664" s="105"/>
      <c r="M664" s="2"/>
      <c r="N664" s="105"/>
      <c r="O664" s="2"/>
      <c r="P664" s="2"/>
      <c r="Q664" s="2"/>
      <c r="R664" s="2"/>
      <c r="S664" s="2"/>
      <c r="T664" s="2"/>
      <c r="U664" s="2"/>
      <c r="V664" s="105"/>
    </row>
    <row r="665" spans="1:22" x14ac:dyDescent="0.25">
      <c r="A665" s="106"/>
      <c r="F665" s="105"/>
      <c r="H665" s="105"/>
      <c r="J665" s="105"/>
      <c r="K665" s="2"/>
      <c r="L665" s="105"/>
      <c r="M665" s="2"/>
      <c r="N665" s="105"/>
      <c r="O665" s="2"/>
      <c r="P665" s="2"/>
      <c r="Q665" s="2"/>
      <c r="R665" s="2"/>
      <c r="S665" s="2"/>
      <c r="T665" s="2"/>
      <c r="U665" s="2"/>
      <c r="V665" s="105"/>
    </row>
    <row r="666" spans="1:22" x14ac:dyDescent="0.25">
      <c r="A666" s="106"/>
      <c r="F666" s="105"/>
      <c r="H666" s="105"/>
      <c r="J666" s="105"/>
      <c r="K666" s="2"/>
      <c r="L666" s="105"/>
      <c r="M666" s="2"/>
      <c r="N666" s="105"/>
      <c r="O666" s="2"/>
      <c r="P666" s="2"/>
      <c r="Q666" s="2"/>
      <c r="R666" s="2"/>
      <c r="S666" s="2"/>
      <c r="T666" s="2"/>
      <c r="U666" s="2"/>
      <c r="V666" s="105"/>
    </row>
    <row r="667" spans="1:22" x14ac:dyDescent="0.25">
      <c r="A667" s="106"/>
      <c r="F667" s="105"/>
      <c r="H667" s="105"/>
      <c r="J667" s="105"/>
      <c r="K667" s="2"/>
      <c r="L667" s="105"/>
      <c r="M667" s="2"/>
      <c r="N667" s="105"/>
      <c r="O667" s="2"/>
      <c r="P667" s="2"/>
      <c r="Q667" s="2"/>
      <c r="R667" s="2"/>
      <c r="S667" s="2"/>
      <c r="T667" s="2"/>
      <c r="U667" s="2"/>
      <c r="V667" s="105"/>
    </row>
    <row r="668" spans="1:22" x14ac:dyDescent="0.25">
      <c r="A668" s="106"/>
      <c r="F668" s="105"/>
      <c r="H668" s="105"/>
      <c r="J668" s="105"/>
      <c r="K668" s="2"/>
      <c r="L668" s="105"/>
      <c r="M668" s="2"/>
      <c r="N668" s="105"/>
      <c r="O668" s="2"/>
      <c r="P668" s="2"/>
      <c r="Q668" s="2"/>
      <c r="R668" s="2"/>
      <c r="S668" s="2"/>
      <c r="T668" s="2"/>
      <c r="U668" s="2"/>
      <c r="V668" s="105"/>
    </row>
    <row r="669" spans="1:22" x14ac:dyDescent="0.25">
      <c r="A669" s="106"/>
      <c r="F669" s="105"/>
      <c r="H669" s="105"/>
      <c r="J669" s="105"/>
      <c r="K669" s="2"/>
      <c r="L669" s="105"/>
      <c r="M669" s="2"/>
      <c r="N669" s="105"/>
      <c r="O669" s="2"/>
      <c r="P669" s="2"/>
      <c r="Q669" s="2"/>
      <c r="R669" s="2"/>
      <c r="S669" s="2"/>
      <c r="T669" s="2"/>
      <c r="U669" s="2"/>
      <c r="V669" s="105"/>
    </row>
    <row r="670" spans="1:22" x14ac:dyDescent="0.25">
      <c r="A670" s="106"/>
      <c r="F670" s="105"/>
      <c r="H670" s="105"/>
      <c r="J670" s="105"/>
      <c r="K670" s="2"/>
      <c r="L670" s="105"/>
      <c r="M670" s="2"/>
      <c r="N670" s="105"/>
      <c r="O670" s="2"/>
      <c r="P670" s="2"/>
      <c r="Q670" s="2"/>
      <c r="R670" s="2"/>
      <c r="S670" s="2"/>
      <c r="T670" s="2"/>
      <c r="U670" s="2"/>
      <c r="V670" s="105"/>
    </row>
    <row r="671" spans="1:22" x14ac:dyDescent="0.25">
      <c r="A671" s="106"/>
      <c r="F671" s="105"/>
      <c r="H671" s="105"/>
      <c r="J671" s="105"/>
      <c r="K671" s="2"/>
      <c r="L671" s="105"/>
      <c r="M671" s="2"/>
      <c r="N671" s="105"/>
      <c r="O671" s="2"/>
      <c r="P671" s="2"/>
      <c r="Q671" s="2"/>
      <c r="R671" s="2"/>
      <c r="S671" s="2"/>
      <c r="T671" s="2"/>
      <c r="U671" s="2"/>
      <c r="V671" s="105"/>
    </row>
    <row r="672" spans="1:22" x14ac:dyDescent="0.25">
      <c r="A672" s="106"/>
      <c r="F672" s="105"/>
      <c r="H672" s="105"/>
      <c r="J672" s="105"/>
      <c r="K672" s="2"/>
      <c r="L672" s="105"/>
      <c r="M672" s="2"/>
      <c r="N672" s="105"/>
      <c r="O672" s="2"/>
      <c r="P672" s="2"/>
      <c r="Q672" s="2"/>
      <c r="R672" s="2"/>
      <c r="S672" s="2"/>
      <c r="T672" s="2"/>
      <c r="U672" s="2"/>
      <c r="V672" s="105"/>
    </row>
    <row r="673" spans="1:22" x14ac:dyDescent="0.25">
      <c r="A673" s="106"/>
      <c r="F673" s="105"/>
      <c r="H673" s="105"/>
      <c r="J673" s="105"/>
      <c r="K673" s="2"/>
      <c r="L673" s="105"/>
      <c r="M673" s="2"/>
      <c r="N673" s="105"/>
      <c r="O673" s="2"/>
      <c r="P673" s="2"/>
      <c r="Q673" s="2"/>
      <c r="R673" s="2"/>
      <c r="S673" s="2"/>
      <c r="T673" s="2"/>
      <c r="U673" s="2"/>
      <c r="V673" s="105"/>
    </row>
    <row r="674" spans="1:22" x14ac:dyDescent="0.25">
      <c r="A674" s="106"/>
      <c r="F674" s="105"/>
      <c r="H674" s="105"/>
      <c r="J674" s="105"/>
      <c r="K674" s="2"/>
      <c r="L674" s="105"/>
      <c r="M674" s="2"/>
      <c r="N674" s="105"/>
      <c r="O674" s="2"/>
      <c r="P674" s="2"/>
      <c r="Q674" s="2"/>
      <c r="R674" s="2"/>
      <c r="S674" s="2"/>
      <c r="T674" s="2"/>
      <c r="U674" s="2"/>
      <c r="V674" s="105"/>
    </row>
    <row r="675" spans="1:22" x14ac:dyDescent="0.25">
      <c r="A675" s="106"/>
      <c r="F675" s="105"/>
      <c r="H675" s="105"/>
      <c r="J675" s="105"/>
      <c r="K675" s="2"/>
      <c r="L675" s="105"/>
      <c r="M675" s="2"/>
      <c r="N675" s="105"/>
      <c r="O675" s="2"/>
      <c r="P675" s="2"/>
      <c r="Q675" s="2"/>
      <c r="R675" s="2"/>
      <c r="S675" s="2"/>
      <c r="T675" s="2"/>
      <c r="U675" s="2"/>
      <c r="V675" s="105"/>
    </row>
    <row r="676" spans="1:22" x14ac:dyDescent="0.25">
      <c r="A676" s="106"/>
      <c r="F676" s="105"/>
      <c r="H676" s="105"/>
      <c r="J676" s="105"/>
      <c r="K676" s="2"/>
      <c r="L676" s="105"/>
      <c r="M676" s="2"/>
      <c r="N676" s="105"/>
      <c r="O676" s="2"/>
      <c r="P676" s="2"/>
      <c r="Q676" s="2"/>
      <c r="R676" s="2"/>
      <c r="S676" s="2"/>
      <c r="T676" s="2"/>
      <c r="U676" s="2"/>
      <c r="V676" s="105"/>
    </row>
    <row r="677" spans="1:22" x14ac:dyDescent="0.25">
      <c r="A677" s="106"/>
      <c r="F677" s="105"/>
      <c r="H677" s="105"/>
      <c r="J677" s="105"/>
      <c r="K677" s="2"/>
      <c r="L677" s="105"/>
      <c r="M677" s="2"/>
      <c r="N677" s="105"/>
      <c r="O677" s="2"/>
      <c r="P677" s="2"/>
      <c r="Q677" s="2"/>
      <c r="R677" s="2"/>
      <c r="S677" s="2"/>
      <c r="T677" s="2"/>
      <c r="U677" s="2"/>
      <c r="V677" s="105"/>
    </row>
    <row r="678" spans="1:22" x14ac:dyDescent="0.25">
      <c r="A678" s="106"/>
      <c r="F678" s="105"/>
      <c r="H678" s="105"/>
      <c r="J678" s="105"/>
      <c r="K678" s="2"/>
      <c r="L678" s="105"/>
      <c r="M678" s="2"/>
      <c r="N678" s="105"/>
      <c r="O678" s="2"/>
      <c r="P678" s="2"/>
      <c r="Q678" s="2"/>
      <c r="R678" s="2"/>
      <c r="S678" s="2"/>
      <c r="T678" s="2"/>
      <c r="U678" s="2"/>
      <c r="V678" s="105"/>
    </row>
    <row r="679" spans="1:22" x14ac:dyDescent="0.25">
      <c r="A679" s="106"/>
      <c r="F679" s="105"/>
      <c r="H679" s="105"/>
      <c r="J679" s="105"/>
      <c r="K679" s="2"/>
      <c r="L679" s="105"/>
      <c r="M679" s="2"/>
      <c r="N679" s="105"/>
      <c r="O679" s="2"/>
      <c r="P679" s="2"/>
      <c r="Q679" s="2"/>
      <c r="R679" s="2"/>
      <c r="S679" s="2"/>
      <c r="T679" s="2"/>
      <c r="U679" s="2"/>
      <c r="V679" s="105"/>
    </row>
    <row r="680" spans="1:22" x14ac:dyDescent="0.25">
      <c r="A680" s="106"/>
      <c r="F680" s="105"/>
      <c r="H680" s="105"/>
      <c r="J680" s="105"/>
      <c r="K680" s="2"/>
      <c r="L680" s="105"/>
      <c r="M680" s="2"/>
      <c r="N680" s="105"/>
      <c r="O680" s="2"/>
      <c r="P680" s="2"/>
      <c r="Q680" s="2"/>
      <c r="R680" s="2"/>
      <c r="S680" s="2"/>
      <c r="T680" s="2"/>
      <c r="U680" s="2"/>
      <c r="V680" s="105"/>
    </row>
    <row r="681" spans="1:22" x14ac:dyDescent="0.25">
      <c r="A681" s="106"/>
      <c r="F681" s="105"/>
      <c r="H681" s="105"/>
      <c r="J681" s="105"/>
      <c r="K681" s="2"/>
      <c r="L681" s="105"/>
      <c r="M681" s="2"/>
      <c r="N681" s="105"/>
      <c r="O681" s="2"/>
      <c r="P681" s="2"/>
      <c r="Q681" s="2"/>
      <c r="R681" s="2"/>
      <c r="S681" s="2"/>
      <c r="T681" s="2"/>
      <c r="U681" s="2"/>
      <c r="V681" s="105"/>
    </row>
    <row r="682" spans="1:22" x14ac:dyDescent="0.25">
      <c r="A682" s="106"/>
      <c r="F682" s="105"/>
      <c r="H682" s="105"/>
      <c r="J682" s="105"/>
      <c r="K682" s="2"/>
      <c r="L682" s="105"/>
      <c r="M682" s="2"/>
      <c r="N682" s="105"/>
      <c r="O682" s="2"/>
      <c r="P682" s="2"/>
      <c r="Q682" s="2"/>
      <c r="R682" s="2"/>
      <c r="S682" s="2"/>
      <c r="T682" s="2"/>
      <c r="U682" s="2"/>
      <c r="V682" s="105"/>
    </row>
    <row r="683" spans="1:22" x14ac:dyDescent="0.25">
      <c r="A683" s="106"/>
      <c r="F683" s="105"/>
      <c r="H683" s="105"/>
      <c r="J683" s="105"/>
      <c r="K683" s="2"/>
      <c r="L683" s="105"/>
      <c r="M683" s="2"/>
      <c r="N683" s="105"/>
      <c r="O683" s="2"/>
      <c r="P683" s="2"/>
      <c r="Q683" s="2"/>
      <c r="R683" s="2"/>
      <c r="S683" s="2"/>
      <c r="T683" s="2"/>
      <c r="U683" s="2"/>
      <c r="V683" s="105"/>
    </row>
    <row r="684" spans="1:22" x14ac:dyDescent="0.25">
      <c r="A684" s="106"/>
      <c r="F684" s="105"/>
      <c r="H684" s="105"/>
      <c r="J684" s="105"/>
      <c r="K684" s="2"/>
      <c r="L684" s="105"/>
      <c r="M684" s="2"/>
      <c r="N684" s="105"/>
      <c r="O684" s="2"/>
      <c r="P684" s="2"/>
      <c r="Q684" s="2"/>
      <c r="R684" s="2"/>
      <c r="S684" s="2"/>
      <c r="T684" s="2"/>
      <c r="U684" s="2"/>
      <c r="V684" s="105"/>
    </row>
    <row r="685" spans="1:22" x14ac:dyDescent="0.25">
      <c r="A685" s="106"/>
      <c r="F685" s="105"/>
      <c r="H685" s="105"/>
      <c r="J685" s="105"/>
      <c r="K685" s="2"/>
      <c r="L685" s="105"/>
      <c r="M685" s="2"/>
      <c r="N685" s="105"/>
      <c r="O685" s="2"/>
      <c r="P685" s="2"/>
      <c r="Q685" s="2"/>
      <c r="R685" s="2"/>
      <c r="S685" s="2"/>
      <c r="T685" s="2"/>
      <c r="U685" s="2"/>
      <c r="V685" s="105"/>
    </row>
    <row r="686" spans="1:22" x14ac:dyDescent="0.25">
      <c r="A686" s="106"/>
      <c r="F686" s="105"/>
      <c r="H686" s="105"/>
      <c r="J686" s="105"/>
      <c r="K686" s="2"/>
      <c r="L686" s="105"/>
      <c r="M686" s="2"/>
      <c r="N686" s="105"/>
      <c r="O686" s="2"/>
      <c r="P686" s="2"/>
      <c r="Q686" s="2"/>
      <c r="R686" s="2"/>
      <c r="S686" s="2"/>
      <c r="T686" s="2"/>
      <c r="U686" s="2"/>
      <c r="V686" s="105"/>
    </row>
    <row r="687" spans="1:22" x14ac:dyDescent="0.25">
      <c r="A687" s="106"/>
      <c r="F687" s="105"/>
      <c r="H687" s="105"/>
      <c r="J687" s="105"/>
      <c r="K687" s="2"/>
      <c r="L687" s="105"/>
      <c r="M687" s="2"/>
      <c r="N687" s="105"/>
      <c r="O687" s="2"/>
      <c r="P687" s="2"/>
      <c r="Q687" s="2"/>
      <c r="R687" s="2"/>
      <c r="S687" s="2"/>
      <c r="T687" s="2"/>
      <c r="U687" s="2"/>
      <c r="V687" s="105"/>
    </row>
    <row r="688" spans="1:22" x14ac:dyDescent="0.25">
      <c r="A688" s="106"/>
      <c r="F688" s="105"/>
      <c r="H688" s="105"/>
      <c r="J688" s="105"/>
      <c r="K688" s="2"/>
      <c r="L688" s="105"/>
      <c r="M688" s="2"/>
      <c r="N688" s="105"/>
      <c r="O688" s="2"/>
      <c r="P688" s="2"/>
      <c r="Q688" s="2"/>
      <c r="R688" s="2"/>
      <c r="S688" s="2"/>
      <c r="T688" s="2"/>
      <c r="U688" s="2"/>
      <c r="V688" s="105"/>
    </row>
    <row r="689" spans="1:22" x14ac:dyDescent="0.25">
      <c r="A689" s="106"/>
      <c r="F689" s="105"/>
      <c r="H689" s="105"/>
      <c r="J689" s="105"/>
      <c r="K689" s="2"/>
      <c r="L689" s="105"/>
      <c r="M689" s="2"/>
      <c r="N689" s="105"/>
      <c r="O689" s="2"/>
      <c r="P689" s="2"/>
      <c r="Q689" s="2"/>
      <c r="R689" s="2"/>
      <c r="S689" s="2"/>
      <c r="T689" s="2"/>
      <c r="U689" s="2"/>
      <c r="V689" s="105"/>
    </row>
    <row r="690" spans="1:22" x14ac:dyDescent="0.25">
      <c r="A690" s="106"/>
      <c r="F690" s="105"/>
      <c r="H690" s="105"/>
      <c r="J690" s="105"/>
      <c r="K690" s="2"/>
      <c r="L690" s="105"/>
      <c r="M690" s="2"/>
      <c r="N690" s="105"/>
      <c r="O690" s="2"/>
      <c r="P690" s="2"/>
      <c r="Q690" s="2"/>
      <c r="R690" s="2"/>
      <c r="S690" s="2"/>
      <c r="T690" s="2"/>
      <c r="U690" s="2"/>
      <c r="V690" s="105"/>
    </row>
    <row r="691" spans="1:22" x14ac:dyDescent="0.25">
      <c r="A691" s="106"/>
      <c r="F691" s="105"/>
      <c r="H691" s="105"/>
      <c r="J691" s="105"/>
      <c r="K691" s="2"/>
      <c r="L691" s="105"/>
      <c r="M691" s="2"/>
      <c r="N691" s="105"/>
      <c r="O691" s="2"/>
      <c r="P691" s="2"/>
      <c r="Q691" s="2"/>
      <c r="R691" s="2"/>
      <c r="S691" s="2"/>
      <c r="T691" s="2"/>
      <c r="U691" s="2"/>
      <c r="V691" s="105"/>
    </row>
    <row r="692" spans="1:22" x14ac:dyDescent="0.25">
      <c r="A692" s="106"/>
      <c r="F692" s="105"/>
      <c r="H692" s="105"/>
      <c r="J692" s="105"/>
      <c r="K692" s="2"/>
      <c r="L692" s="105"/>
      <c r="M692" s="2"/>
      <c r="N692" s="105"/>
      <c r="O692" s="2"/>
      <c r="P692" s="2"/>
      <c r="Q692" s="2"/>
      <c r="R692" s="2"/>
      <c r="S692" s="2"/>
      <c r="T692" s="2"/>
      <c r="U692" s="2"/>
      <c r="V692" s="105"/>
    </row>
    <row r="693" spans="1:22" x14ac:dyDescent="0.25">
      <c r="A693" s="106"/>
      <c r="F693" s="105"/>
      <c r="H693" s="105"/>
      <c r="J693" s="105"/>
      <c r="K693" s="2"/>
      <c r="L693" s="105"/>
      <c r="M693" s="2"/>
      <c r="N693" s="105"/>
      <c r="O693" s="2"/>
      <c r="P693" s="2"/>
      <c r="Q693" s="2"/>
      <c r="R693" s="2"/>
      <c r="S693" s="2"/>
      <c r="T693" s="2"/>
      <c r="U693" s="2"/>
      <c r="V693" s="105"/>
    </row>
    <row r="694" spans="1:22" x14ac:dyDescent="0.25">
      <c r="A694" s="106"/>
      <c r="F694" s="105"/>
      <c r="H694" s="105"/>
      <c r="J694" s="105"/>
      <c r="K694" s="2"/>
      <c r="L694" s="105"/>
      <c r="M694" s="2"/>
      <c r="N694" s="105"/>
      <c r="O694" s="2"/>
      <c r="P694" s="2"/>
      <c r="Q694" s="2"/>
      <c r="R694" s="2"/>
      <c r="S694" s="2"/>
      <c r="T694" s="2"/>
      <c r="U694" s="2"/>
      <c r="V694" s="105"/>
    </row>
    <row r="695" spans="1:22" x14ac:dyDescent="0.25">
      <c r="A695" s="106"/>
      <c r="F695" s="105"/>
      <c r="H695" s="105"/>
      <c r="J695" s="105"/>
      <c r="K695" s="2"/>
      <c r="L695" s="105"/>
      <c r="M695" s="2"/>
      <c r="N695" s="105"/>
      <c r="O695" s="2"/>
      <c r="P695" s="2"/>
      <c r="Q695" s="2"/>
      <c r="R695" s="2"/>
      <c r="S695" s="2"/>
      <c r="T695" s="2"/>
      <c r="U695" s="2"/>
      <c r="V695" s="105"/>
    </row>
    <row r="696" spans="1:22" x14ac:dyDescent="0.25">
      <c r="A696" s="106"/>
      <c r="F696" s="105"/>
      <c r="H696" s="105"/>
      <c r="J696" s="105"/>
      <c r="K696" s="2"/>
      <c r="L696" s="105"/>
      <c r="M696" s="2"/>
      <c r="N696" s="105"/>
      <c r="O696" s="2"/>
      <c r="P696" s="2"/>
      <c r="Q696" s="2"/>
      <c r="R696" s="2"/>
      <c r="S696" s="2"/>
      <c r="T696" s="2"/>
      <c r="U696" s="2"/>
      <c r="V696" s="105"/>
    </row>
    <row r="697" spans="1:22" x14ac:dyDescent="0.25">
      <c r="A697" s="106"/>
      <c r="F697" s="105"/>
      <c r="H697" s="105"/>
      <c r="J697" s="105"/>
      <c r="K697" s="2"/>
      <c r="L697" s="105"/>
      <c r="M697" s="2"/>
      <c r="N697" s="105"/>
      <c r="O697" s="2"/>
      <c r="P697" s="2"/>
      <c r="Q697" s="2"/>
      <c r="R697" s="2"/>
      <c r="S697" s="2"/>
      <c r="T697" s="2"/>
      <c r="U697" s="2"/>
      <c r="V697" s="105"/>
    </row>
    <row r="698" spans="1:22" x14ac:dyDescent="0.25">
      <c r="A698" s="106"/>
      <c r="F698" s="105"/>
      <c r="H698" s="105"/>
      <c r="J698" s="105"/>
      <c r="K698" s="2"/>
      <c r="L698" s="105"/>
      <c r="M698" s="2"/>
      <c r="N698" s="105"/>
      <c r="O698" s="2"/>
      <c r="P698" s="2"/>
      <c r="Q698" s="2"/>
      <c r="R698" s="2"/>
      <c r="S698" s="2"/>
      <c r="T698" s="2"/>
      <c r="U698" s="2"/>
      <c r="V698" s="105"/>
    </row>
    <row r="699" spans="1:22" x14ac:dyDescent="0.25">
      <c r="A699" s="106"/>
      <c r="F699" s="105"/>
      <c r="H699" s="105"/>
      <c r="J699" s="105"/>
      <c r="K699" s="2"/>
      <c r="L699" s="105"/>
      <c r="M699" s="2"/>
      <c r="N699" s="105"/>
      <c r="O699" s="2"/>
      <c r="P699" s="2"/>
      <c r="Q699" s="2"/>
      <c r="R699" s="2"/>
      <c r="S699" s="2"/>
      <c r="T699" s="2"/>
      <c r="U699" s="2"/>
      <c r="V699" s="105"/>
    </row>
    <row r="700" spans="1:22" x14ac:dyDescent="0.25">
      <c r="A700" s="106"/>
      <c r="F700" s="105"/>
      <c r="H700" s="105"/>
      <c r="J700" s="105"/>
      <c r="K700" s="2"/>
      <c r="L700" s="105"/>
      <c r="M700" s="2"/>
      <c r="N700" s="105"/>
      <c r="O700" s="2"/>
      <c r="P700" s="2"/>
      <c r="Q700" s="2"/>
      <c r="R700" s="2"/>
      <c r="S700" s="2"/>
      <c r="T700" s="2"/>
      <c r="U700" s="2"/>
      <c r="V700" s="105"/>
    </row>
    <row r="701" spans="1:22" x14ac:dyDescent="0.25">
      <c r="A701" s="106"/>
      <c r="F701" s="105"/>
      <c r="H701" s="105"/>
      <c r="J701" s="105"/>
      <c r="K701" s="2"/>
      <c r="L701" s="105"/>
      <c r="M701" s="2"/>
      <c r="N701" s="105"/>
      <c r="O701" s="2"/>
      <c r="P701" s="2"/>
      <c r="Q701" s="2"/>
      <c r="R701" s="2"/>
      <c r="S701" s="2"/>
      <c r="T701" s="2"/>
      <c r="U701" s="2"/>
      <c r="V701" s="105"/>
    </row>
    <row r="702" spans="1:22" x14ac:dyDescent="0.25">
      <c r="A702" s="106"/>
      <c r="F702" s="105"/>
      <c r="H702" s="105"/>
      <c r="J702" s="105"/>
      <c r="K702" s="2"/>
      <c r="L702" s="105"/>
      <c r="M702" s="2"/>
      <c r="N702" s="105"/>
      <c r="O702" s="2"/>
      <c r="P702" s="2"/>
      <c r="Q702" s="2"/>
      <c r="R702" s="2"/>
      <c r="S702" s="2"/>
      <c r="T702" s="2"/>
      <c r="U702" s="2"/>
      <c r="V702" s="105"/>
    </row>
    <row r="703" spans="1:22" x14ac:dyDescent="0.25">
      <c r="A703" s="106"/>
      <c r="F703" s="105"/>
      <c r="H703" s="105"/>
      <c r="J703" s="105"/>
      <c r="K703" s="2"/>
      <c r="L703" s="105"/>
      <c r="M703" s="2"/>
      <c r="N703" s="105"/>
      <c r="O703" s="2"/>
      <c r="P703" s="2"/>
      <c r="Q703" s="2"/>
      <c r="R703" s="2"/>
      <c r="S703" s="2"/>
      <c r="T703" s="2"/>
      <c r="U703" s="2"/>
      <c r="V703" s="105"/>
    </row>
    <row r="704" spans="1:22" x14ac:dyDescent="0.25">
      <c r="A704" s="106"/>
      <c r="F704" s="105"/>
      <c r="H704" s="105"/>
      <c r="J704" s="105"/>
      <c r="K704" s="2"/>
      <c r="L704" s="105"/>
      <c r="M704" s="2"/>
      <c r="N704" s="105"/>
      <c r="O704" s="2"/>
      <c r="P704" s="2"/>
      <c r="Q704" s="2"/>
      <c r="R704" s="2"/>
      <c r="S704" s="2"/>
      <c r="T704" s="2"/>
      <c r="U704" s="2"/>
      <c r="V704" s="105"/>
    </row>
    <row r="705" spans="1:22" x14ac:dyDescent="0.25">
      <c r="A705" s="106"/>
      <c r="F705" s="105"/>
      <c r="H705" s="105"/>
      <c r="J705" s="105"/>
      <c r="K705" s="2"/>
      <c r="L705" s="105"/>
      <c r="M705" s="2"/>
      <c r="N705" s="105"/>
      <c r="O705" s="2"/>
      <c r="P705" s="2"/>
      <c r="Q705" s="2"/>
      <c r="R705" s="2"/>
      <c r="S705" s="2"/>
      <c r="T705" s="2"/>
      <c r="U705" s="2"/>
      <c r="V705" s="105"/>
    </row>
    <row r="706" spans="1:22" x14ac:dyDescent="0.25">
      <c r="A706" s="106"/>
      <c r="F706" s="105"/>
      <c r="H706" s="105"/>
      <c r="J706" s="105"/>
      <c r="K706" s="2"/>
      <c r="L706" s="105"/>
      <c r="M706" s="2"/>
      <c r="N706" s="105"/>
      <c r="O706" s="2"/>
      <c r="P706" s="2"/>
      <c r="Q706" s="2"/>
      <c r="R706" s="2"/>
      <c r="S706" s="2"/>
      <c r="T706" s="2"/>
      <c r="U706" s="2"/>
      <c r="V706" s="105"/>
    </row>
    <row r="707" spans="1:22" x14ac:dyDescent="0.25">
      <c r="A707" s="106"/>
      <c r="F707" s="105"/>
      <c r="H707" s="105"/>
      <c r="J707" s="105"/>
      <c r="K707" s="2"/>
      <c r="L707" s="105"/>
      <c r="M707" s="2"/>
      <c r="N707" s="105"/>
      <c r="O707" s="2"/>
      <c r="P707" s="2"/>
      <c r="Q707" s="2"/>
      <c r="R707" s="2"/>
      <c r="S707" s="2"/>
      <c r="T707" s="2"/>
      <c r="U707" s="2"/>
      <c r="V707" s="105"/>
    </row>
    <row r="708" spans="1:22" x14ac:dyDescent="0.25">
      <c r="A708" s="106"/>
      <c r="F708" s="105"/>
      <c r="H708" s="105"/>
      <c r="J708" s="105"/>
      <c r="K708" s="2"/>
      <c r="L708" s="105"/>
      <c r="M708" s="2"/>
      <c r="N708" s="105"/>
      <c r="O708" s="2"/>
      <c r="P708" s="2"/>
      <c r="Q708" s="2"/>
      <c r="R708" s="2"/>
      <c r="S708" s="2"/>
      <c r="T708" s="2"/>
      <c r="U708" s="2"/>
      <c r="V708" s="105"/>
    </row>
    <row r="709" spans="1:22" x14ac:dyDescent="0.25">
      <c r="A709" s="106"/>
      <c r="F709" s="105"/>
      <c r="H709" s="105"/>
      <c r="J709" s="105"/>
      <c r="K709" s="2"/>
      <c r="L709" s="105"/>
      <c r="M709" s="2"/>
      <c r="N709" s="105"/>
      <c r="O709" s="2"/>
      <c r="P709" s="2"/>
      <c r="Q709" s="2"/>
      <c r="R709" s="2"/>
      <c r="S709" s="2"/>
      <c r="T709" s="2"/>
      <c r="U709" s="2"/>
      <c r="V709" s="105"/>
    </row>
    <row r="710" spans="1:22" x14ac:dyDescent="0.25">
      <c r="A710" s="106"/>
      <c r="F710" s="105"/>
      <c r="H710" s="105"/>
      <c r="J710" s="105"/>
      <c r="K710" s="2"/>
      <c r="L710" s="105"/>
      <c r="M710" s="2"/>
      <c r="N710" s="105"/>
      <c r="O710" s="2"/>
      <c r="P710" s="2"/>
      <c r="Q710" s="2"/>
      <c r="R710" s="2"/>
      <c r="S710" s="2"/>
      <c r="T710" s="2"/>
      <c r="U710" s="2"/>
      <c r="V710" s="105"/>
    </row>
    <row r="711" spans="1:22" x14ac:dyDescent="0.25">
      <c r="A711" s="106"/>
      <c r="F711" s="105"/>
      <c r="H711" s="105"/>
      <c r="J711" s="105"/>
      <c r="K711" s="2"/>
      <c r="L711" s="105"/>
      <c r="M711" s="2"/>
      <c r="N711" s="105"/>
      <c r="O711" s="2"/>
      <c r="P711" s="2"/>
      <c r="Q711" s="2"/>
      <c r="R711" s="2"/>
      <c r="S711" s="2"/>
      <c r="T711" s="2"/>
      <c r="U711" s="2"/>
      <c r="V711" s="105"/>
    </row>
    <row r="712" spans="1:22" x14ac:dyDescent="0.25">
      <c r="A712" s="106"/>
      <c r="F712" s="105"/>
      <c r="H712" s="105"/>
      <c r="J712" s="105"/>
      <c r="K712" s="2"/>
      <c r="L712" s="105"/>
      <c r="M712" s="2"/>
      <c r="N712" s="105"/>
      <c r="O712" s="2"/>
      <c r="P712" s="2"/>
      <c r="Q712" s="2"/>
      <c r="R712" s="2"/>
      <c r="S712" s="2"/>
      <c r="T712" s="2"/>
      <c r="U712" s="2"/>
      <c r="V712" s="105"/>
    </row>
    <row r="713" spans="1:22" x14ac:dyDescent="0.25">
      <c r="A713" s="106"/>
      <c r="F713" s="105"/>
      <c r="H713" s="105"/>
      <c r="J713" s="105"/>
      <c r="K713" s="2"/>
      <c r="L713" s="105"/>
      <c r="M713" s="2"/>
      <c r="N713" s="105"/>
      <c r="O713" s="2"/>
      <c r="P713" s="2"/>
      <c r="Q713" s="2"/>
      <c r="R713" s="2"/>
      <c r="S713" s="2"/>
      <c r="T713" s="2"/>
      <c r="U713" s="2"/>
      <c r="V713" s="105"/>
    </row>
    <row r="714" spans="1:22" x14ac:dyDescent="0.25">
      <c r="A714" s="106"/>
      <c r="F714" s="105"/>
      <c r="H714" s="105"/>
      <c r="J714" s="105"/>
      <c r="K714" s="2"/>
      <c r="L714" s="105"/>
      <c r="M714" s="2"/>
      <c r="N714" s="105"/>
      <c r="O714" s="2"/>
      <c r="P714" s="2"/>
      <c r="Q714" s="2"/>
      <c r="R714" s="2"/>
      <c r="S714" s="2"/>
      <c r="T714" s="2"/>
      <c r="U714" s="2"/>
      <c r="V714" s="105"/>
    </row>
    <row r="715" spans="1:22" x14ac:dyDescent="0.25">
      <c r="A715" s="106"/>
      <c r="F715" s="105"/>
      <c r="H715" s="105"/>
      <c r="J715" s="105"/>
      <c r="K715" s="2"/>
      <c r="L715" s="105"/>
      <c r="M715" s="2"/>
      <c r="N715" s="105"/>
      <c r="O715" s="2"/>
      <c r="P715" s="2"/>
      <c r="Q715" s="2"/>
      <c r="R715" s="2"/>
      <c r="S715" s="2"/>
      <c r="T715" s="2"/>
      <c r="U715" s="2"/>
      <c r="V715" s="105"/>
    </row>
    <row r="716" spans="1:22" x14ac:dyDescent="0.25">
      <c r="A716" s="106"/>
      <c r="F716" s="105"/>
      <c r="H716" s="105"/>
      <c r="J716" s="105"/>
      <c r="K716" s="2"/>
      <c r="L716" s="105"/>
      <c r="M716" s="2"/>
      <c r="N716" s="105"/>
      <c r="O716" s="2"/>
      <c r="P716" s="2"/>
      <c r="Q716" s="2"/>
      <c r="R716" s="2"/>
      <c r="S716" s="2"/>
      <c r="T716" s="2"/>
      <c r="U716" s="2"/>
      <c r="V716" s="105"/>
    </row>
    <row r="717" spans="1:22" x14ac:dyDescent="0.25">
      <c r="A717" s="106"/>
      <c r="F717" s="105"/>
      <c r="H717" s="105"/>
      <c r="J717" s="105"/>
      <c r="K717" s="2"/>
      <c r="L717" s="105"/>
      <c r="M717" s="2"/>
      <c r="N717" s="105"/>
      <c r="O717" s="2"/>
      <c r="P717" s="2"/>
      <c r="Q717" s="2"/>
      <c r="R717" s="2"/>
      <c r="S717" s="2"/>
      <c r="T717" s="2"/>
      <c r="U717" s="2"/>
      <c r="V717" s="105"/>
    </row>
    <row r="718" spans="1:22" x14ac:dyDescent="0.25">
      <c r="A718" s="106"/>
      <c r="F718" s="105"/>
      <c r="H718" s="105"/>
      <c r="J718" s="105"/>
      <c r="K718" s="2"/>
      <c r="L718" s="105"/>
      <c r="M718" s="2"/>
      <c r="N718" s="105"/>
      <c r="O718" s="2"/>
      <c r="P718" s="2"/>
      <c r="Q718" s="2"/>
      <c r="R718" s="2"/>
      <c r="S718" s="2"/>
      <c r="T718" s="2"/>
      <c r="U718" s="2"/>
      <c r="V718" s="105"/>
    </row>
    <row r="719" spans="1:22" x14ac:dyDescent="0.25">
      <c r="A719" s="106"/>
      <c r="F719" s="105"/>
      <c r="H719" s="105"/>
      <c r="J719" s="105"/>
      <c r="K719" s="2"/>
      <c r="L719" s="105"/>
      <c r="M719" s="2"/>
      <c r="N719" s="105"/>
      <c r="O719" s="2"/>
      <c r="P719" s="2"/>
      <c r="Q719" s="2"/>
      <c r="R719" s="2"/>
      <c r="S719" s="2"/>
      <c r="T719" s="2"/>
      <c r="U719" s="2"/>
      <c r="V719" s="105"/>
    </row>
    <row r="720" spans="1:22" x14ac:dyDescent="0.25">
      <c r="A720" s="106"/>
      <c r="F720" s="105"/>
      <c r="H720" s="105"/>
      <c r="J720" s="105"/>
      <c r="K720" s="2"/>
      <c r="L720" s="105"/>
      <c r="M720" s="2"/>
      <c r="N720" s="105"/>
      <c r="O720" s="2"/>
      <c r="P720" s="2"/>
      <c r="Q720" s="2"/>
      <c r="R720" s="2"/>
      <c r="S720" s="2"/>
      <c r="T720" s="2"/>
      <c r="U720" s="2"/>
      <c r="V720" s="105"/>
    </row>
    <row r="721" spans="1:22" x14ac:dyDescent="0.25">
      <c r="A721" s="106"/>
      <c r="F721" s="105"/>
      <c r="H721" s="105"/>
      <c r="J721" s="105"/>
      <c r="K721" s="2"/>
      <c r="L721" s="105"/>
      <c r="M721" s="2"/>
      <c r="N721" s="105"/>
      <c r="O721" s="2"/>
      <c r="P721" s="2"/>
      <c r="Q721" s="2"/>
      <c r="R721" s="2"/>
      <c r="S721" s="2"/>
      <c r="T721" s="2"/>
      <c r="U721" s="2"/>
      <c r="V721" s="105"/>
    </row>
    <row r="722" spans="1:22" x14ac:dyDescent="0.25">
      <c r="A722" s="106"/>
      <c r="F722" s="105"/>
      <c r="H722" s="105"/>
      <c r="J722" s="105"/>
      <c r="K722" s="2"/>
      <c r="L722" s="105"/>
      <c r="M722" s="2"/>
      <c r="N722" s="105"/>
      <c r="O722" s="2"/>
      <c r="P722" s="2"/>
      <c r="Q722" s="2"/>
      <c r="R722" s="2"/>
      <c r="S722" s="2"/>
      <c r="T722" s="2"/>
      <c r="U722" s="2"/>
      <c r="V722" s="105"/>
    </row>
    <row r="723" spans="1:22" x14ac:dyDescent="0.25">
      <c r="A723" s="106"/>
      <c r="F723" s="105"/>
      <c r="H723" s="105"/>
      <c r="J723" s="105"/>
      <c r="K723" s="2"/>
      <c r="L723" s="105"/>
      <c r="M723" s="2"/>
      <c r="N723" s="105"/>
      <c r="O723" s="2"/>
      <c r="P723" s="2"/>
      <c r="Q723" s="2"/>
      <c r="R723" s="2"/>
      <c r="S723" s="2"/>
      <c r="T723" s="2"/>
      <c r="U723" s="2"/>
      <c r="V723" s="105"/>
    </row>
    <row r="724" spans="1:22" x14ac:dyDescent="0.25">
      <c r="A724" s="106"/>
      <c r="F724" s="105"/>
      <c r="H724" s="105"/>
      <c r="J724" s="105"/>
      <c r="K724" s="2"/>
      <c r="L724" s="105"/>
      <c r="M724" s="2"/>
      <c r="N724" s="105"/>
      <c r="O724" s="2"/>
      <c r="P724" s="2"/>
      <c r="Q724" s="2"/>
      <c r="R724" s="2"/>
      <c r="S724" s="2"/>
      <c r="T724" s="2"/>
      <c r="U724" s="2"/>
      <c r="V724" s="105"/>
    </row>
    <row r="725" spans="1:22" x14ac:dyDescent="0.25">
      <c r="A725" s="106"/>
      <c r="F725" s="105"/>
      <c r="H725" s="105"/>
      <c r="J725" s="105"/>
      <c r="K725" s="2"/>
      <c r="L725" s="105"/>
      <c r="M725" s="2"/>
      <c r="N725" s="105"/>
      <c r="O725" s="2"/>
      <c r="P725" s="2"/>
      <c r="Q725" s="2"/>
      <c r="R725" s="2"/>
      <c r="S725" s="2"/>
      <c r="T725" s="2"/>
      <c r="U725" s="2"/>
      <c r="V725" s="105"/>
    </row>
    <row r="726" spans="1:22" x14ac:dyDescent="0.25">
      <c r="A726" s="106"/>
      <c r="F726" s="105"/>
      <c r="H726" s="105"/>
      <c r="J726" s="105"/>
      <c r="K726" s="2"/>
      <c r="L726" s="105"/>
      <c r="M726" s="2"/>
      <c r="N726" s="105"/>
      <c r="O726" s="2"/>
      <c r="P726" s="2"/>
      <c r="Q726" s="2"/>
      <c r="R726" s="2"/>
      <c r="S726" s="2"/>
      <c r="T726" s="2"/>
      <c r="U726" s="2"/>
      <c r="V726" s="105"/>
    </row>
    <row r="727" spans="1:22" x14ac:dyDescent="0.25">
      <c r="A727" s="106"/>
      <c r="F727" s="105"/>
      <c r="H727" s="105"/>
      <c r="J727" s="105"/>
      <c r="K727" s="2"/>
      <c r="L727" s="105"/>
      <c r="M727" s="2"/>
      <c r="N727" s="105"/>
      <c r="O727" s="2"/>
      <c r="P727" s="2"/>
      <c r="Q727" s="2"/>
      <c r="R727" s="2"/>
      <c r="S727" s="2"/>
      <c r="T727" s="2"/>
      <c r="U727" s="2"/>
      <c r="V727" s="105"/>
    </row>
    <row r="728" spans="1:22" x14ac:dyDescent="0.25">
      <c r="A728" s="106"/>
      <c r="F728" s="105"/>
      <c r="H728" s="105"/>
      <c r="J728" s="105"/>
      <c r="K728" s="2"/>
      <c r="L728" s="105"/>
      <c r="M728" s="2"/>
      <c r="N728" s="105"/>
      <c r="O728" s="2"/>
      <c r="P728" s="2"/>
      <c r="Q728" s="2"/>
      <c r="R728" s="2"/>
      <c r="S728" s="2"/>
      <c r="T728" s="2"/>
      <c r="U728" s="2"/>
      <c r="V728" s="105"/>
    </row>
    <row r="729" spans="1:22" x14ac:dyDescent="0.25">
      <c r="A729" s="106"/>
      <c r="F729" s="105"/>
      <c r="H729" s="105"/>
      <c r="J729" s="105"/>
      <c r="K729" s="2"/>
      <c r="L729" s="105"/>
      <c r="M729" s="2"/>
      <c r="N729" s="105"/>
      <c r="O729" s="2"/>
      <c r="P729" s="2"/>
      <c r="Q729" s="2"/>
      <c r="R729" s="2"/>
      <c r="S729" s="2"/>
      <c r="T729" s="2"/>
      <c r="U729" s="2"/>
      <c r="V729" s="105"/>
    </row>
    <row r="730" spans="1:22" x14ac:dyDescent="0.25">
      <c r="A730" s="106"/>
      <c r="F730" s="105"/>
      <c r="H730" s="105"/>
      <c r="J730" s="105"/>
      <c r="K730" s="2"/>
      <c r="L730" s="105"/>
      <c r="M730" s="2"/>
      <c r="N730" s="105"/>
      <c r="O730" s="2"/>
      <c r="P730" s="2"/>
      <c r="Q730" s="2"/>
      <c r="R730" s="2"/>
      <c r="S730" s="2"/>
      <c r="T730" s="2"/>
      <c r="U730" s="2"/>
      <c r="V730" s="105"/>
    </row>
    <row r="731" spans="1:22" x14ac:dyDescent="0.25">
      <c r="A731" s="106"/>
      <c r="F731" s="105"/>
      <c r="H731" s="105"/>
      <c r="J731" s="105"/>
      <c r="K731" s="2"/>
      <c r="L731" s="105"/>
      <c r="M731" s="2"/>
      <c r="N731" s="105"/>
      <c r="O731" s="2"/>
      <c r="P731" s="2"/>
      <c r="Q731" s="2"/>
      <c r="R731" s="2"/>
      <c r="S731" s="2"/>
      <c r="T731" s="2"/>
      <c r="U731" s="2"/>
      <c r="V731" s="105"/>
    </row>
    <row r="732" spans="1:22" x14ac:dyDescent="0.25">
      <c r="A732" s="106"/>
      <c r="F732" s="105"/>
      <c r="H732" s="105"/>
      <c r="J732" s="105"/>
      <c r="K732" s="2"/>
      <c r="L732" s="105"/>
      <c r="M732" s="2"/>
      <c r="N732" s="105"/>
      <c r="O732" s="2"/>
      <c r="P732" s="2"/>
      <c r="Q732" s="2"/>
      <c r="R732" s="2"/>
      <c r="S732" s="2"/>
      <c r="T732" s="2"/>
      <c r="U732" s="2"/>
      <c r="V732" s="105"/>
    </row>
    <row r="733" spans="1:22" x14ac:dyDescent="0.25">
      <c r="A733" s="106"/>
      <c r="F733" s="105"/>
      <c r="H733" s="105"/>
      <c r="J733" s="105"/>
      <c r="K733" s="2"/>
      <c r="L733" s="105"/>
      <c r="M733" s="2"/>
      <c r="N733" s="105"/>
      <c r="O733" s="2"/>
      <c r="P733" s="2"/>
      <c r="Q733" s="2"/>
      <c r="R733" s="2"/>
      <c r="S733" s="2"/>
      <c r="T733" s="2"/>
      <c r="U733" s="2"/>
      <c r="V733" s="105"/>
    </row>
    <row r="734" spans="1:22" x14ac:dyDescent="0.25">
      <c r="A734" s="106"/>
      <c r="F734" s="105"/>
      <c r="H734" s="105"/>
      <c r="J734" s="105"/>
      <c r="K734" s="2"/>
      <c r="L734" s="105"/>
      <c r="M734" s="2"/>
      <c r="N734" s="105"/>
      <c r="O734" s="2"/>
      <c r="P734" s="2"/>
      <c r="Q734" s="2"/>
      <c r="R734" s="2"/>
      <c r="S734" s="2"/>
      <c r="T734" s="2"/>
      <c r="U734" s="2"/>
      <c r="V734" s="105"/>
    </row>
    <row r="735" spans="1:22" x14ac:dyDescent="0.25">
      <c r="A735" s="106"/>
      <c r="F735" s="105"/>
      <c r="H735" s="105"/>
      <c r="J735" s="105"/>
      <c r="K735" s="2"/>
      <c r="L735" s="105"/>
      <c r="M735" s="2"/>
      <c r="N735" s="105"/>
      <c r="O735" s="2"/>
      <c r="P735" s="2"/>
      <c r="Q735" s="2"/>
      <c r="R735" s="2"/>
      <c r="S735" s="2"/>
      <c r="T735" s="2"/>
      <c r="U735" s="2"/>
      <c r="V735" s="105"/>
    </row>
    <row r="736" spans="1:22" x14ac:dyDescent="0.25">
      <c r="A736" s="106"/>
      <c r="F736" s="105"/>
      <c r="H736" s="105"/>
      <c r="J736" s="105"/>
      <c r="K736" s="2"/>
      <c r="L736" s="105"/>
      <c r="M736" s="2"/>
      <c r="N736" s="105"/>
      <c r="O736" s="2"/>
      <c r="P736" s="2"/>
      <c r="Q736" s="2"/>
      <c r="R736" s="2"/>
      <c r="S736" s="2"/>
      <c r="T736" s="2"/>
      <c r="U736" s="2"/>
      <c r="V736" s="105"/>
    </row>
    <row r="737" spans="1:22" x14ac:dyDescent="0.25">
      <c r="A737" s="106"/>
      <c r="F737" s="105"/>
      <c r="H737" s="105"/>
      <c r="J737" s="105"/>
      <c r="K737" s="2"/>
      <c r="L737" s="105"/>
      <c r="M737" s="2"/>
      <c r="N737" s="105"/>
      <c r="O737" s="2"/>
      <c r="P737" s="2"/>
      <c r="Q737" s="2"/>
      <c r="R737" s="2"/>
      <c r="S737" s="2"/>
      <c r="T737" s="2"/>
      <c r="U737" s="2"/>
      <c r="V737" s="105"/>
    </row>
    <row r="738" spans="1:22" x14ac:dyDescent="0.25">
      <c r="A738" s="106"/>
      <c r="F738" s="105"/>
      <c r="H738" s="105"/>
      <c r="J738" s="105"/>
      <c r="K738" s="2"/>
      <c r="L738" s="105"/>
      <c r="M738" s="2"/>
      <c r="N738" s="105"/>
      <c r="O738" s="2"/>
      <c r="P738" s="2"/>
      <c r="Q738" s="2"/>
      <c r="R738" s="2"/>
      <c r="S738" s="2"/>
      <c r="T738" s="2"/>
      <c r="U738" s="2"/>
      <c r="V738" s="105"/>
    </row>
    <row r="739" spans="1:22" x14ac:dyDescent="0.25">
      <c r="A739" s="106"/>
      <c r="F739" s="105"/>
      <c r="H739" s="105"/>
      <c r="J739" s="105"/>
      <c r="K739" s="2"/>
      <c r="L739" s="105"/>
      <c r="M739" s="2"/>
      <c r="N739" s="105"/>
      <c r="O739" s="2"/>
      <c r="P739" s="2"/>
      <c r="Q739" s="2"/>
      <c r="R739" s="2"/>
      <c r="S739" s="2"/>
      <c r="T739" s="2"/>
      <c r="U739" s="2"/>
      <c r="V739" s="105"/>
    </row>
    <row r="740" spans="1:22" x14ac:dyDescent="0.25">
      <c r="A740" s="106"/>
      <c r="F740" s="105"/>
      <c r="H740" s="105"/>
      <c r="J740" s="105"/>
      <c r="K740" s="2"/>
      <c r="L740" s="105"/>
      <c r="M740" s="2"/>
      <c r="N740" s="105"/>
      <c r="O740" s="2"/>
      <c r="P740" s="2"/>
      <c r="Q740" s="2"/>
      <c r="R740" s="2"/>
      <c r="S740" s="2"/>
      <c r="T740" s="2"/>
      <c r="U740" s="2"/>
      <c r="V740" s="105"/>
    </row>
    <row r="741" spans="1:22" x14ac:dyDescent="0.25">
      <c r="A741" s="106"/>
      <c r="F741" s="105"/>
      <c r="H741" s="105"/>
      <c r="J741" s="105"/>
      <c r="K741" s="2"/>
      <c r="L741" s="105"/>
      <c r="M741" s="2"/>
      <c r="N741" s="105"/>
      <c r="O741" s="2"/>
      <c r="P741" s="2"/>
      <c r="Q741" s="2"/>
      <c r="R741" s="2"/>
      <c r="S741" s="2"/>
      <c r="T741" s="2"/>
      <c r="U741" s="2"/>
      <c r="V741" s="105"/>
    </row>
    <row r="742" spans="1:22" x14ac:dyDescent="0.25">
      <c r="A742" s="106"/>
      <c r="F742" s="105"/>
      <c r="H742" s="105"/>
      <c r="J742" s="105"/>
      <c r="K742" s="2"/>
      <c r="L742" s="105"/>
      <c r="M742" s="2"/>
      <c r="N742" s="105"/>
      <c r="O742" s="2"/>
      <c r="P742" s="2"/>
      <c r="Q742" s="2"/>
      <c r="R742" s="2"/>
      <c r="S742" s="2"/>
      <c r="T742" s="2"/>
      <c r="U742" s="2"/>
      <c r="V742" s="105"/>
    </row>
    <row r="743" spans="1:22" x14ac:dyDescent="0.25">
      <c r="A743" s="106"/>
      <c r="F743" s="105"/>
      <c r="H743" s="105"/>
      <c r="J743" s="105"/>
      <c r="K743" s="2"/>
      <c r="L743" s="105"/>
      <c r="M743" s="2"/>
      <c r="N743" s="105"/>
      <c r="O743" s="2"/>
      <c r="P743" s="2"/>
      <c r="Q743" s="2"/>
      <c r="R743" s="2"/>
      <c r="S743" s="2"/>
      <c r="T743" s="2"/>
      <c r="U743" s="2"/>
      <c r="V743" s="105"/>
    </row>
    <row r="744" spans="1:22" x14ac:dyDescent="0.25">
      <c r="A744" s="106"/>
      <c r="F744" s="105"/>
      <c r="H744" s="105"/>
      <c r="J744" s="105"/>
      <c r="K744" s="2"/>
      <c r="L744" s="105"/>
      <c r="M744" s="2"/>
      <c r="N744" s="105"/>
      <c r="O744" s="2"/>
      <c r="P744" s="2"/>
      <c r="Q744" s="2"/>
      <c r="R744" s="2"/>
      <c r="S744" s="2"/>
      <c r="T744" s="2"/>
      <c r="U744" s="2"/>
      <c r="V744" s="105"/>
    </row>
    <row r="745" spans="1:22" x14ac:dyDescent="0.25">
      <c r="A745" s="106"/>
      <c r="F745" s="105"/>
      <c r="H745" s="105"/>
      <c r="J745" s="105"/>
      <c r="K745" s="2"/>
      <c r="L745" s="105"/>
      <c r="M745" s="2"/>
      <c r="N745" s="105"/>
      <c r="O745" s="2"/>
      <c r="P745" s="2"/>
      <c r="Q745" s="2"/>
      <c r="R745" s="2"/>
      <c r="S745" s="2"/>
      <c r="T745" s="2"/>
      <c r="U745" s="2"/>
      <c r="V745" s="105"/>
    </row>
    <row r="746" spans="1:22" x14ac:dyDescent="0.25">
      <c r="A746" s="106"/>
      <c r="F746" s="105"/>
      <c r="H746" s="105"/>
      <c r="J746" s="105"/>
      <c r="K746" s="2"/>
      <c r="L746" s="105"/>
      <c r="M746" s="2"/>
      <c r="N746" s="105"/>
      <c r="O746" s="2"/>
      <c r="P746" s="2"/>
      <c r="Q746" s="2"/>
      <c r="R746" s="2"/>
      <c r="S746" s="2"/>
      <c r="T746" s="2"/>
      <c r="U746" s="2"/>
      <c r="V746" s="105"/>
    </row>
    <row r="747" spans="1:22" x14ac:dyDescent="0.25">
      <c r="A747" s="106"/>
      <c r="F747" s="105"/>
      <c r="H747" s="105"/>
      <c r="J747" s="105"/>
      <c r="K747" s="2"/>
      <c r="L747" s="105"/>
      <c r="M747" s="2"/>
      <c r="N747" s="105"/>
      <c r="O747" s="2"/>
      <c r="P747" s="2"/>
      <c r="Q747" s="2"/>
      <c r="R747" s="2"/>
      <c r="S747" s="2"/>
      <c r="T747" s="2"/>
      <c r="U747" s="2"/>
      <c r="V747" s="105"/>
    </row>
    <row r="748" spans="1:22" x14ac:dyDescent="0.25">
      <c r="A748" s="106"/>
      <c r="F748" s="105"/>
      <c r="H748" s="105"/>
      <c r="J748" s="105"/>
      <c r="K748" s="2"/>
      <c r="L748" s="105"/>
      <c r="M748" s="2"/>
      <c r="N748" s="105"/>
      <c r="O748" s="2"/>
      <c r="P748" s="2"/>
      <c r="Q748" s="2"/>
      <c r="R748" s="2"/>
      <c r="S748" s="2"/>
      <c r="T748" s="2"/>
      <c r="U748" s="2"/>
      <c r="V748" s="105"/>
    </row>
    <row r="749" spans="1:22" x14ac:dyDescent="0.25">
      <c r="A749" s="106"/>
      <c r="F749" s="105"/>
      <c r="H749" s="105"/>
      <c r="J749" s="105"/>
      <c r="K749" s="2"/>
      <c r="L749" s="105"/>
      <c r="M749" s="2"/>
      <c r="N749" s="105"/>
      <c r="O749" s="2"/>
      <c r="P749" s="2"/>
      <c r="Q749" s="2"/>
      <c r="R749" s="2"/>
      <c r="S749" s="2"/>
      <c r="T749" s="2"/>
      <c r="U749" s="2"/>
      <c r="V749" s="105"/>
    </row>
    <row r="750" spans="1:22" x14ac:dyDescent="0.25">
      <c r="A750" s="106"/>
      <c r="F750" s="105"/>
      <c r="H750" s="105"/>
      <c r="J750" s="105"/>
      <c r="K750" s="2"/>
      <c r="L750" s="105"/>
      <c r="M750" s="2"/>
      <c r="N750" s="105"/>
      <c r="O750" s="2"/>
      <c r="P750" s="2"/>
      <c r="Q750" s="2"/>
      <c r="R750" s="2"/>
      <c r="S750" s="2"/>
      <c r="T750" s="2"/>
      <c r="U750" s="2"/>
      <c r="V750" s="105"/>
    </row>
    <row r="751" spans="1:22" x14ac:dyDescent="0.25">
      <c r="A751" s="106"/>
      <c r="F751" s="105"/>
      <c r="H751" s="105"/>
      <c r="J751" s="105"/>
      <c r="K751" s="2"/>
      <c r="L751" s="105"/>
      <c r="M751" s="2"/>
      <c r="N751" s="105"/>
      <c r="O751" s="2"/>
      <c r="P751" s="2"/>
      <c r="Q751" s="2"/>
      <c r="R751" s="2"/>
      <c r="S751" s="2"/>
      <c r="T751" s="2"/>
      <c r="U751" s="2"/>
      <c r="V751" s="105"/>
    </row>
    <row r="752" spans="1:22" x14ac:dyDescent="0.25">
      <c r="A752" s="106"/>
      <c r="F752" s="105"/>
      <c r="H752" s="105"/>
      <c r="J752" s="105"/>
      <c r="K752" s="2"/>
      <c r="L752" s="105"/>
      <c r="M752" s="2"/>
      <c r="N752" s="105"/>
      <c r="O752" s="2"/>
      <c r="P752" s="2"/>
      <c r="Q752" s="2"/>
      <c r="R752" s="2"/>
      <c r="S752" s="2"/>
      <c r="T752" s="2"/>
      <c r="U752" s="2"/>
      <c r="V752" s="105"/>
    </row>
    <row r="753" spans="1:22" x14ac:dyDescent="0.25">
      <c r="A753" s="106"/>
      <c r="F753" s="105"/>
      <c r="H753" s="105"/>
      <c r="J753" s="105"/>
      <c r="K753" s="2"/>
      <c r="L753" s="105"/>
      <c r="M753" s="2"/>
      <c r="N753" s="105"/>
      <c r="O753" s="2"/>
      <c r="P753" s="2"/>
      <c r="Q753" s="2"/>
      <c r="R753" s="2"/>
      <c r="S753" s="2"/>
      <c r="T753" s="2"/>
      <c r="U753" s="2"/>
      <c r="V753" s="105"/>
    </row>
    <row r="754" spans="1:22" x14ac:dyDescent="0.25">
      <c r="A754" s="106"/>
      <c r="F754" s="105"/>
      <c r="H754" s="105"/>
      <c r="J754" s="105"/>
      <c r="K754" s="2"/>
      <c r="L754" s="105"/>
      <c r="M754" s="2"/>
      <c r="N754" s="105"/>
      <c r="O754" s="2"/>
      <c r="P754" s="2"/>
      <c r="Q754" s="2"/>
      <c r="R754" s="2"/>
      <c r="S754" s="2"/>
      <c r="T754" s="2"/>
      <c r="U754" s="2"/>
      <c r="V754" s="105"/>
    </row>
    <row r="755" spans="1:22" x14ac:dyDescent="0.25">
      <c r="A755" s="106"/>
      <c r="F755" s="105"/>
      <c r="H755" s="105"/>
      <c r="J755" s="105"/>
      <c r="K755" s="2"/>
      <c r="L755" s="105"/>
      <c r="M755" s="2"/>
      <c r="N755" s="105"/>
      <c r="O755" s="2"/>
      <c r="P755" s="2"/>
      <c r="Q755" s="2"/>
      <c r="R755" s="2"/>
      <c r="S755" s="2"/>
      <c r="T755" s="2"/>
      <c r="U755" s="2"/>
      <c r="V755" s="105"/>
    </row>
    <row r="756" spans="1:22" x14ac:dyDescent="0.25">
      <c r="A756" s="106"/>
      <c r="F756" s="105"/>
      <c r="H756" s="105"/>
      <c r="J756" s="105"/>
      <c r="K756" s="2"/>
      <c r="L756" s="105"/>
      <c r="M756" s="2"/>
      <c r="N756" s="105"/>
      <c r="O756" s="2"/>
      <c r="P756" s="2"/>
      <c r="Q756" s="2"/>
      <c r="R756" s="2"/>
      <c r="S756" s="2"/>
      <c r="T756" s="2"/>
      <c r="U756" s="2"/>
      <c r="V756" s="105"/>
    </row>
    <row r="757" spans="1:22" x14ac:dyDescent="0.25">
      <c r="A757" s="106"/>
      <c r="F757" s="105"/>
      <c r="H757" s="105"/>
      <c r="J757" s="105"/>
      <c r="K757" s="2"/>
      <c r="L757" s="105"/>
      <c r="M757" s="2"/>
      <c r="N757" s="105"/>
      <c r="O757" s="2"/>
      <c r="P757" s="2"/>
      <c r="Q757" s="2"/>
      <c r="R757" s="2"/>
      <c r="S757" s="2"/>
      <c r="T757" s="2"/>
      <c r="U757" s="2"/>
      <c r="V757" s="105"/>
    </row>
    <row r="758" spans="1:22" x14ac:dyDescent="0.25">
      <c r="A758" s="106"/>
      <c r="F758" s="105"/>
      <c r="H758" s="105"/>
      <c r="J758" s="105"/>
      <c r="K758" s="2"/>
      <c r="L758" s="105"/>
      <c r="M758" s="2"/>
      <c r="N758" s="105"/>
      <c r="O758" s="2"/>
      <c r="P758" s="2"/>
      <c r="Q758" s="2"/>
      <c r="R758" s="2"/>
      <c r="S758" s="2"/>
      <c r="T758" s="2"/>
      <c r="U758" s="2"/>
      <c r="V758" s="105"/>
    </row>
    <row r="759" spans="1:22" x14ac:dyDescent="0.25">
      <c r="A759" s="106"/>
      <c r="F759" s="105"/>
      <c r="H759" s="105"/>
      <c r="J759" s="105"/>
      <c r="K759" s="2"/>
      <c r="L759" s="105"/>
      <c r="M759" s="2"/>
      <c r="N759" s="105"/>
      <c r="O759" s="2"/>
      <c r="P759" s="2"/>
      <c r="Q759" s="2"/>
      <c r="R759" s="2"/>
      <c r="S759" s="2"/>
      <c r="T759" s="2"/>
      <c r="U759" s="2"/>
      <c r="V759" s="105"/>
    </row>
    <row r="760" spans="1:22" x14ac:dyDescent="0.25">
      <c r="A760" s="106"/>
      <c r="F760" s="105"/>
      <c r="H760" s="105"/>
      <c r="J760" s="105"/>
      <c r="K760" s="2"/>
      <c r="L760" s="105"/>
      <c r="M760" s="2"/>
      <c r="N760" s="105"/>
      <c r="O760" s="2"/>
      <c r="P760" s="2"/>
      <c r="Q760" s="2"/>
      <c r="R760" s="2"/>
      <c r="S760" s="2"/>
      <c r="T760" s="2"/>
      <c r="U760" s="2"/>
      <c r="V760" s="105"/>
    </row>
    <row r="761" spans="1:22" x14ac:dyDescent="0.25">
      <c r="A761" s="106"/>
      <c r="F761" s="105"/>
      <c r="H761" s="105"/>
      <c r="J761" s="105"/>
      <c r="K761" s="2"/>
      <c r="L761" s="105"/>
      <c r="M761" s="2"/>
      <c r="N761" s="105"/>
      <c r="O761" s="2"/>
      <c r="P761" s="2"/>
      <c r="Q761" s="2"/>
      <c r="R761" s="2"/>
      <c r="S761" s="2"/>
      <c r="T761" s="2"/>
      <c r="U761" s="2"/>
      <c r="V761" s="105"/>
    </row>
    <row r="762" spans="1:22" x14ac:dyDescent="0.25">
      <c r="A762" s="106"/>
      <c r="F762" s="105"/>
      <c r="H762" s="105"/>
      <c r="J762" s="105"/>
      <c r="K762" s="2"/>
      <c r="L762" s="105"/>
      <c r="M762" s="2"/>
      <c r="N762" s="105"/>
      <c r="O762" s="2"/>
      <c r="P762" s="2"/>
      <c r="Q762" s="2"/>
      <c r="R762" s="2"/>
      <c r="S762" s="2"/>
      <c r="T762" s="2"/>
      <c r="U762" s="2"/>
      <c r="V762" s="105"/>
    </row>
    <row r="763" spans="1:22" x14ac:dyDescent="0.25">
      <c r="A763" s="106"/>
      <c r="F763" s="105"/>
      <c r="H763" s="105"/>
      <c r="J763" s="105"/>
      <c r="K763" s="2"/>
      <c r="L763" s="105"/>
      <c r="M763" s="2"/>
      <c r="N763" s="105"/>
      <c r="O763" s="2"/>
      <c r="P763" s="2"/>
      <c r="Q763" s="2"/>
      <c r="R763" s="2"/>
      <c r="S763" s="2"/>
      <c r="T763" s="2"/>
      <c r="U763" s="2"/>
      <c r="V763" s="105"/>
    </row>
    <row r="764" spans="1:22" x14ac:dyDescent="0.25">
      <c r="A764" s="106"/>
      <c r="F764" s="105"/>
      <c r="H764" s="105"/>
      <c r="J764" s="105"/>
      <c r="K764" s="2"/>
      <c r="L764" s="105"/>
      <c r="M764" s="2"/>
      <c r="N764" s="105"/>
      <c r="O764" s="2"/>
      <c r="P764" s="2"/>
      <c r="Q764" s="2"/>
      <c r="R764" s="2"/>
      <c r="S764" s="2"/>
      <c r="T764" s="2"/>
      <c r="U764" s="2"/>
      <c r="V764" s="105"/>
    </row>
    <row r="765" spans="1:22" x14ac:dyDescent="0.25">
      <c r="A765" s="106"/>
      <c r="F765" s="105"/>
      <c r="H765" s="105"/>
      <c r="J765" s="105"/>
      <c r="K765" s="2"/>
      <c r="L765" s="105"/>
      <c r="M765" s="2"/>
      <c r="N765" s="105"/>
      <c r="O765" s="2"/>
      <c r="P765" s="2"/>
      <c r="Q765" s="2"/>
      <c r="R765" s="2"/>
      <c r="S765" s="2"/>
      <c r="T765" s="2"/>
      <c r="U765" s="2"/>
      <c r="V765" s="105"/>
    </row>
    <row r="766" spans="1:22" x14ac:dyDescent="0.25">
      <c r="A766" s="106"/>
      <c r="F766" s="105"/>
      <c r="H766" s="105"/>
      <c r="J766" s="105"/>
      <c r="K766" s="2"/>
      <c r="L766" s="105"/>
      <c r="M766" s="2"/>
      <c r="N766" s="105"/>
      <c r="O766" s="2"/>
      <c r="P766" s="2"/>
      <c r="Q766" s="2"/>
      <c r="R766" s="2"/>
      <c r="S766" s="2"/>
      <c r="T766" s="2"/>
      <c r="U766" s="2"/>
      <c r="V766" s="105"/>
    </row>
    <row r="767" spans="1:22" x14ac:dyDescent="0.25">
      <c r="A767" s="106"/>
      <c r="F767" s="105"/>
      <c r="H767" s="105"/>
      <c r="J767" s="105"/>
      <c r="K767" s="2"/>
      <c r="L767" s="105"/>
      <c r="M767" s="2"/>
      <c r="N767" s="105"/>
      <c r="O767" s="2"/>
      <c r="P767" s="2"/>
      <c r="Q767" s="2"/>
      <c r="R767" s="2"/>
      <c r="S767" s="2"/>
      <c r="T767" s="2"/>
      <c r="U767" s="2"/>
      <c r="V767" s="105"/>
    </row>
    <row r="768" spans="1:22" x14ac:dyDescent="0.25">
      <c r="A768" s="106"/>
      <c r="F768" s="105"/>
      <c r="H768" s="105"/>
      <c r="J768" s="105"/>
      <c r="K768" s="2"/>
      <c r="L768" s="105"/>
      <c r="M768" s="2"/>
      <c r="N768" s="105"/>
      <c r="O768" s="2"/>
      <c r="P768" s="2"/>
      <c r="Q768" s="2"/>
      <c r="R768" s="2"/>
      <c r="S768" s="2"/>
      <c r="T768" s="2"/>
      <c r="U768" s="2"/>
      <c r="V768" s="105"/>
    </row>
    <row r="769" spans="1:22" x14ac:dyDescent="0.25">
      <c r="A769" s="106"/>
      <c r="F769" s="105"/>
      <c r="H769" s="105"/>
      <c r="J769" s="105"/>
      <c r="K769" s="2"/>
      <c r="L769" s="105"/>
      <c r="M769" s="2"/>
      <c r="N769" s="105"/>
      <c r="O769" s="2"/>
      <c r="P769" s="2"/>
      <c r="Q769" s="2"/>
      <c r="R769" s="2"/>
      <c r="S769" s="2"/>
      <c r="T769" s="2"/>
      <c r="U769" s="2"/>
      <c r="V769" s="105"/>
    </row>
    <row r="770" spans="1:22" x14ac:dyDescent="0.25">
      <c r="A770" s="106"/>
      <c r="F770" s="105"/>
      <c r="H770" s="105"/>
      <c r="J770" s="105"/>
      <c r="K770" s="2"/>
      <c r="L770" s="105"/>
      <c r="M770" s="2"/>
      <c r="N770" s="105"/>
      <c r="O770" s="2"/>
      <c r="P770" s="2"/>
      <c r="Q770" s="2"/>
      <c r="R770" s="2"/>
      <c r="S770" s="2"/>
      <c r="T770" s="2"/>
      <c r="U770" s="2"/>
      <c r="V770" s="105"/>
    </row>
    <row r="771" spans="1:22" x14ac:dyDescent="0.25">
      <c r="A771" s="106"/>
      <c r="F771" s="105"/>
      <c r="H771" s="105"/>
      <c r="J771" s="105"/>
      <c r="K771" s="2"/>
      <c r="L771" s="105"/>
      <c r="M771" s="2"/>
      <c r="N771" s="105"/>
      <c r="O771" s="2"/>
      <c r="P771" s="2"/>
      <c r="Q771" s="2"/>
      <c r="R771" s="2"/>
      <c r="S771" s="2"/>
      <c r="T771" s="2"/>
      <c r="U771" s="2"/>
      <c r="V771" s="105"/>
    </row>
    <row r="772" spans="1:22" x14ac:dyDescent="0.25">
      <c r="A772" s="106"/>
      <c r="F772" s="105"/>
      <c r="H772" s="105"/>
      <c r="J772" s="105"/>
      <c r="K772" s="2"/>
      <c r="L772" s="105"/>
      <c r="M772" s="2"/>
      <c r="N772" s="105"/>
      <c r="O772" s="2"/>
      <c r="P772" s="2"/>
      <c r="Q772" s="2"/>
      <c r="R772" s="2"/>
      <c r="S772" s="2"/>
      <c r="T772" s="2"/>
      <c r="U772" s="2"/>
      <c r="V772" s="105"/>
    </row>
    <row r="773" spans="1:22" x14ac:dyDescent="0.25">
      <c r="A773" s="106"/>
      <c r="F773" s="105"/>
      <c r="H773" s="105"/>
      <c r="J773" s="105"/>
      <c r="K773" s="2"/>
      <c r="L773" s="105"/>
      <c r="M773" s="2"/>
      <c r="N773" s="105"/>
      <c r="O773" s="2"/>
      <c r="P773" s="2"/>
      <c r="Q773" s="2"/>
      <c r="R773" s="2"/>
      <c r="S773" s="2"/>
      <c r="T773" s="2"/>
      <c r="U773" s="2"/>
      <c r="V773" s="105"/>
    </row>
    <row r="774" spans="1:22" x14ac:dyDescent="0.25">
      <c r="A774" s="106"/>
      <c r="F774" s="105"/>
      <c r="H774" s="105"/>
      <c r="J774" s="105"/>
      <c r="K774" s="2"/>
      <c r="L774" s="105"/>
      <c r="M774" s="2"/>
      <c r="N774" s="105"/>
      <c r="O774" s="2"/>
      <c r="P774" s="2"/>
      <c r="Q774" s="2"/>
      <c r="R774" s="2"/>
      <c r="S774" s="2"/>
      <c r="T774" s="2"/>
      <c r="U774" s="2"/>
      <c r="V774" s="105"/>
    </row>
    <row r="775" spans="1:22" x14ac:dyDescent="0.25">
      <c r="A775" s="106"/>
      <c r="F775" s="105"/>
      <c r="H775" s="105"/>
      <c r="J775" s="105"/>
      <c r="K775" s="2"/>
      <c r="L775" s="105"/>
      <c r="M775" s="2"/>
      <c r="N775" s="105"/>
      <c r="O775" s="2"/>
      <c r="P775" s="2"/>
      <c r="Q775" s="2"/>
      <c r="R775" s="2"/>
      <c r="S775" s="2"/>
      <c r="T775" s="2"/>
      <c r="U775" s="2"/>
      <c r="V775" s="105"/>
    </row>
    <row r="776" spans="1:22" x14ac:dyDescent="0.25">
      <c r="A776" s="106"/>
      <c r="F776" s="105"/>
      <c r="H776" s="105"/>
      <c r="J776" s="105"/>
      <c r="K776" s="2"/>
      <c r="L776" s="105"/>
      <c r="M776" s="2"/>
      <c r="N776" s="105"/>
      <c r="O776" s="2"/>
      <c r="P776" s="2"/>
      <c r="Q776" s="2"/>
      <c r="R776" s="2"/>
      <c r="S776" s="2"/>
      <c r="T776" s="2"/>
      <c r="U776" s="2"/>
      <c r="V776" s="105"/>
    </row>
    <row r="777" spans="1:22" x14ac:dyDescent="0.25">
      <c r="A777" s="106"/>
      <c r="F777" s="105"/>
      <c r="H777" s="105"/>
      <c r="J777" s="105"/>
      <c r="K777" s="2"/>
      <c r="L777" s="105"/>
      <c r="M777" s="2"/>
      <c r="N777" s="105"/>
      <c r="O777" s="2"/>
      <c r="P777" s="2"/>
      <c r="Q777" s="2"/>
      <c r="R777" s="2"/>
      <c r="S777" s="2"/>
      <c r="T777" s="2"/>
      <c r="U777" s="2"/>
      <c r="V777" s="105"/>
    </row>
    <row r="778" spans="1:22" x14ac:dyDescent="0.25">
      <c r="A778" s="106"/>
      <c r="F778" s="105"/>
      <c r="H778" s="105"/>
      <c r="J778" s="105"/>
      <c r="K778" s="2"/>
      <c r="L778" s="105"/>
      <c r="M778" s="2"/>
      <c r="N778" s="105"/>
      <c r="O778" s="2"/>
      <c r="P778" s="2"/>
      <c r="Q778" s="2"/>
      <c r="R778" s="2"/>
      <c r="S778" s="2"/>
      <c r="T778" s="2"/>
      <c r="U778" s="2"/>
      <c r="V778" s="105"/>
    </row>
    <row r="779" spans="1:22" x14ac:dyDescent="0.25">
      <c r="A779" s="106"/>
      <c r="F779" s="105"/>
      <c r="H779" s="105"/>
      <c r="J779" s="105"/>
      <c r="K779" s="2"/>
      <c r="L779" s="105"/>
      <c r="M779" s="2"/>
      <c r="N779" s="105"/>
      <c r="O779" s="2"/>
      <c r="P779" s="2"/>
      <c r="Q779" s="2"/>
      <c r="R779" s="2"/>
      <c r="S779" s="2"/>
      <c r="T779" s="2"/>
      <c r="U779" s="2"/>
      <c r="V779" s="105"/>
    </row>
    <row r="780" spans="1:22" x14ac:dyDescent="0.25">
      <c r="A780" s="106"/>
      <c r="F780" s="105"/>
      <c r="H780" s="105"/>
      <c r="J780" s="105"/>
      <c r="K780" s="2"/>
      <c r="L780" s="105"/>
      <c r="M780" s="2"/>
      <c r="N780" s="105"/>
      <c r="O780" s="2"/>
      <c r="P780" s="2"/>
      <c r="Q780" s="2"/>
      <c r="R780" s="2"/>
      <c r="S780" s="2"/>
      <c r="T780" s="2"/>
      <c r="U780" s="2"/>
      <c r="V780" s="105"/>
    </row>
    <row r="781" spans="1:22" x14ac:dyDescent="0.25">
      <c r="A781" s="106"/>
      <c r="F781" s="105"/>
      <c r="H781" s="105"/>
      <c r="J781" s="105"/>
      <c r="K781" s="2"/>
      <c r="L781" s="105"/>
      <c r="M781" s="2"/>
      <c r="N781" s="105"/>
      <c r="O781" s="2"/>
      <c r="P781" s="2"/>
      <c r="Q781" s="2"/>
      <c r="R781" s="2"/>
      <c r="S781" s="2"/>
      <c r="T781" s="2"/>
      <c r="U781" s="2"/>
      <c r="V781" s="105"/>
    </row>
    <row r="782" spans="1:22" x14ac:dyDescent="0.25">
      <c r="A782" s="106"/>
      <c r="F782" s="105"/>
      <c r="H782" s="105"/>
      <c r="J782" s="105"/>
      <c r="K782" s="2"/>
      <c r="L782" s="105"/>
      <c r="M782" s="2"/>
      <c r="N782" s="105"/>
      <c r="O782" s="2"/>
      <c r="P782" s="2"/>
      <c r="Q782" s="2"/>
      <c r="R782" s="2"/>
      <c r="S782" s="2"/>
      <c r="T782" s="2"/>
      <c r="U782" s="2"/>
      <c r="V782" s="105"/>
    </row>
    <row r="783" spans="1:22" x14ac:dyDescent="0.25">
      <c r="A783" s="106"/>
      <c r="F783" s="105"/>
      <c r="H783" s="105"/>
      <c r="J783" s="105"/>
      <c r="K783" s="2"/>
      <c r="L783" s="105"/>
      <c r="M783" s="2"/>
      <c r="N783" s="105"/>
      <c r="O783" s="2"/>
      <c r="P783" s="2"/>
      <c r="Q783" s="2"/>
      <c r="R783" s="2"/>
      <c r="S783" s="2"/>
      <c r="T783" s="2"/>
      <c r="U783" s="2"/>
      <c r="V783" s="105"/>
    </row>
    <row r="784" spans="1:22" x14ac:dyDescent="0.25">
      <c r="A784" s="106"/>
      <c r="F784" s="105"/>
      <c r="H784" s="105"/>
      <c r="J784" s="105"/>
      <c r="K784" s="2"/>
      <c r="L784" s="105"/>
      <c r="M784" s="2"/>
      <c r="N784" s="105"/>
      <c r="O784" s="2"/>
      <c r="P784" s="2"/>
      <c r="Q784" s="2"/>
      <c r="R784" s="2"/>
      <c r="S784" s="2"/>
      <c r="T784" s="2"/>
      <c r="U784" s="2"/>
      <c r="V784" s="105"/>
    </row>
    <row r="785" spans="1:22" x14ac:dyDescent="0.25">
      <c r="A785" s="106"/>
      <c r="F785" s="105"/>
      <c r="H785" s="105"/>
      <c r="J785" s="105"/>
      <c r="K785" s="2"/>
      <c r="L785" s="105"/>
      <c r="M785" s="2"/>
      <c r="N785" s="105"/>
      <c r="O785" s="2"/>
      <c r="P785" s="2"/>
      <c r="Q785" s="2"/>
      <c r="R785" s="2"/>
      <c r="S785" s="2"/>
      <c r="T785" s="2"/>
      <c r="U785" s="2"/>
      <c r="V785" s="105"/>
    </row>
    <row r="786" spans="1:22" x14ac:dyDescent="0.25">
      <c r="A786" s="106"/>
      <c r="F786" s="105"/>
      <c r="H786" s="105"/>
      <c r="J786" s="105"/>
      <c r="K786" s="2"/>
      <c r="L786" s="105"/>
      <c r="M786" s="2"/>
      <c r="N786" s="105"/>
      <c r="O786" s="2"/>
      <c r="P786" s="2"/>
      <c r="Q786" s="2"/>
      <c r="R786" s="2"/>
      <c r="S786" s="2"/>
      <c r="T786" s="2"/>
      <c r="U786" s="2"/>
      <c r="V786" s="105"/>
    </row>
    <row r="787" spans="1:22" x14ac:dyDescent="0.25">
      <c r="A787" s="106"/>
      <c r="F787" s="105"/>
      <c r="H787" s="105"/>
      <c r="J787" s="105"/>
      <c r="K787" s="2"/>
      <c r="L787" s="105"/>
      <c r="M787" s="2"/>
      <c r="N787" s="105"/>
      <c r="O787" s="2"/>
      <c r="P787" s="2"/>
      <c r="Q787" s="2"/>
      <c r="R787" s="2"/>
      <c r="S787" s="2"/>
      <c r="T787" s="2"/>
      <c r="U787" s="2"/>
      <c r="V787" s="105"/>
    </row>
    <row r="788" spans="1:22" x14ac:dyDescent="0.25">
      <c r="A788" s="106"/>
      <c r="F788" s="105"/>
      <c r="H788" s="105"/>
      <c r="J788" s="105"/>
      <c r="K788" s="2"/>
      <c r="L788" s="105"/>
      <c r="M788" s="2"/>
      <c r="N788" s="105"/>
      <c r="O788" s="2"/>
      <c r="P788" s="2"/>
      <c r="Q788" s="2"/>
      <c r="R788" s="2"/>
      <c r="S788" s="2"/>
      <c r="T788" s="2"/>
      <c r="U788" s="2"/>
      <c r="V788" s="105"/>
    </row>
    <row r="789" spans="1:22" x14ac:dyDescent="0.25">
      <c r="A789" s="106"/>
      <c r="F789" s="105"/>
      <c r="H789" s="105"/>
      <c r="J789" s="105"/>
      <c r="K789" s="2"/>
      <c r="L789" s="105"/>
      <c r="M789" s="2"/>
      <c r="N789" s="105"/>
      <c r="O789" s="2"/>
      <c r="P789" s="2"/>
      <c r="Q789" s="2"/>
      <c r="R789" s="2"/>
      <c r="S789" s="2"/>
      <c r="T789" s="2"/>
      <c r="U789" s="2"/>
      <c r="V789" s="105"/>
    </row>
    <row r="790" spans="1:22" x14ac:dyDescent="0.25">
      <c r="A790" s="106"/>
      <c r="F790" s="105"/>
      <c r="H790" s="105"/>
      <c r="J790" s="105"/>
      <c r="K790" s="2"/>
      <c r="L790" s="105"/>
      <c r="M790" s="2"/>
      <c r="N790" s="105"/>
      <c r="O790" s="2"/>
      <c r="P790" s="2"/>
      <c r="Q790" s="2"/>
      <c r="R790" s="2"/>
      <c r="S790" s="2"/>
      <c r="T790" s="2"/>
      <c r="U790" s="2"/>
      <c r="V790" s="105"/>
    </row>
    <row r="791" spans="1:22" x14ac:dyDescent="0.25">
      <c r="A791" s="106"/>
      <c r="F791" s="105"/>
      <c r="H791" s="105"/>
      <c r="J791" s="105"/>
      <c r="K791" s="2"/>
      <c r="L791" s="105"/>
      <c r="M791" s="2"/>
      <c r="N791" s="105"/>
      <c r="O791" s="2"/>
      <c r="P791" s="2"/>
      <c r="Q791" s="2"/>
      <c r="R791" s="2"/>
      <c r="S791" s="2"/>
      <c r="T791" s="2"/>
      <c r="U791" s="2"/>
      <c r="V791" s="105"/>
    </row>
    <row r="792" spans="1:22" x14ac:dyDescent="0.25">
      <c r="A792" s="106"/>
      <c r="F792" s="105"/>
      <c r="H792" s="105"/>
      <c r="J792" s="105"/>
      <c r="K792" s="2"/>
      <c r="L792" s="105"/>
      <c r="M792" s="2"/>
      <c r="N792" s="105"/>
      <c r="O792" s="2"/>
      <c r="P792" s="2"/>
      <c r="Q792" s="2"/>
      <c r="R792" s="2"/>
      <c r="S792" s="2"/>
      <c r="T792" s="2"/>
      <c r="U792" s="2"/>
      <c r="V792" s="105"/>
    </row>
    <row r="793" spans="1:22" x14ac:dyDescent="0.25">
      <c r="A793" s="106"/>
      <c r="F793" s="105"/>
      <c r="H793" s="105"/>
      <c r="J793" s="105"/>
      <c r="K793" s="2"/>
      <c r="L793" s="105"/>
      <c r="M793" s="2"/>
      <c r="N793" s="105"/>
      <c r="O793" s="2"/>
      <c r="P793" s="2"/>
      <c r="Q793" s="2"/>
      <c r="R793" s="2"/>
      <c r="S793" s="2"/>
      <c r="T793" s="2"/>
      <c r="U793" s="2"/>
      <c r="V793" s="105"/>
    </row>
    <row r="794" spans="1:22" x14ac:dyDescent="0.25">
      <c r="A794" s="106"/>
      <c r="F794" s="105"/>
      <c r="H794" s="105"/>
      <c r="J794" s="105"/>
      <c r="K794" s="2"/>
      <c r="L794" s="105"/>
      <c r="M794" s="2"/>
      <c r="N794" s="105"/>
      <c r="O794" s="2"/>
      <c r="P794" s="2"/>
      <c r="Q794" s="2"/>
      <c r="R794" s="2"/>
      <c r="S794" s="2"/>
      <c r="T794" s="2"/>
      <c r="U794" s="2"/>
      <c r="V794" s="105"/>
    </row>
    <row r="795" spans="1:22" x14ac:dyDescent="0.25">
      <c r="A795" s="106"/>
      <c r="F795" s="105"/>
      <c r="H795" s="105"/>
      <c r="J795" s="105"/>
      <c r="K795" s="2"/>
      <c r="L795" s="105"/>
      <c r="M795" s="2"/>
      <c r="N795" s="105"/>
      <c r="O795" s="2"/>
      <c r="P795" s="2"/>
      <c r="Q795" s="2"/>
      <c r="R795" s="2"/>
      <c r="S795" s="2"/>
      <c r="T795" s="2"/>
      <c r="U795" s="2"/>
      <c r="V795" s="105"/>
    </row>
    <row r="796" spans="1:22" x14ac:dyDescent="0.25">
      <c r="A796" s="106"/>
      <c r="F796" s="105"/>
      <c r="H796" s="105"/>
      <c r="J796" s="105"/>
      <c r="K796" s="2"/>
      <c r="L796" s="105"/>
      <c r="M796" s="2"/>
      <c r="N796" s="105"/>
      <c r="O796" s="2"/>
      <c r="P796" s="2"/>
      <c r="Q796" s="2"/>
      <c r="R796" s="2"/>
      <c r="S796" s="2"/>
      <c r="T796" s="2"/>
      <c r="U796" s="2"/>
      <c r="V796" s="105"/>
    </row>
    <row r="797" spans="1:22" x14ac:dyDescent="0.25">
      <c r="A797" s="106"/>
      <c r="F797" s="105"/>
      <c r="H797" s="105"/>
      <c r="J797" s="105"/>
      <c r="K797" s="2"/>
      <c r="L797" s="105"/>
      <c r="M797" s="2"/>
      <c r="N797" s="105"/>
      <c r="O797" s="2"/>
      <c r="P797" s="2"/>
      <c r="Q797" s="2"/>
      <c r="R797" s="2"/>
      <c r="S797" s="2"/>
      <c r="T797" s="2"/>
      <c r="U797" s="2"/>
      <c r="V797" s="105"/>
    </row>
    <row r="798" spans="1:22" x14ac:dyDescent="0.25">
      <c r="A798" s="106"/>
      <c r="F798" s="105"/>
      <c r="H798" s="105"/>
      <c r="J798" s="105"/>
      <c r="K798" s="2"/>
      <c r="L798" s="105"/>
      <c r="M798" s="2"/>
      <c r="N798" s="105"/>
      <c r="O798" s="2"/>
      <c r="P798" s="2"/>
      <c r="Q798" s="2"/>
      <c r="R798" s="2"/>
      <c r="S798" s="2"/>
      <c r="T798" s="2"/>
      <c r="U798" s="2"/>
      <c r="V798" s="105"/>
    </row>
    <row r="799" spans="1:22" x14ac:dyDescent="0.25">
      <c r="A799" s="106"/>
      <c r="F799" s="105"/>
      <c r="H799" s="105"/>
      <c r="J799" s="105"/>
      <c r="K799" s="2"/>
      <c r="L799" s="105"/>
      <c r="M799" s="2"/>
      <c r="N799" s="105"/>
      <c r="O799" s="2"/>
      <c r="P799" s="2"/>
      <c r="Q799" s="2"/>
      <c r="R799" s="2"/>
      <c r="S799" s="2"/>
      <c r="T799" s="2"/>
      <c r="U799" s="2"/>
      <c r="V799" s="105"/>
    </row>
    <row r="800" spans="1:22" x14ac:dyDescent="0.25">
      <c r="A800" s="106"/>
      <c r="F800" s="105"/>
      <c r="H800" s="105"/>
      <c r="J800" s="105"/>
      <c r="K800" s="2"/>
      <c r="L800" s="105"/>
      <c r="M800" s="2"/>
      <c r="N800" s="105"/>
      <c r="O800" s="2"/>
      <c r="P800" s="2"/>
      <c r="Q800" s="2"/>
      <c r="R800" s="2"/>
      <c r="S800" s="2"/>
      <c r="T800" s="2"/>
      <c r="U800" s="2"/>
      <c r="V800" s="105"/>
    </row>
    <row r="801" spans="1:22" x14ac:dyDescent="0.25">
      <c r="A801" s="106"/>
      <c r="F801" s="105"/>
      <c r="H801" s="105"/>
      <c r="J801" s="105"/>
      <c r="K801" s="2"/>
      <c r="L801" s="105"/>
      <c r="M801" s="2"/>
      <c r="N801" s="105"/>
      <c r="O801" s="2"/>
      <c r="P801" s="2"/>
      <c r="Q801" s="2"/>
      <c r="R801" s="2"/>
      <c r="S801" s="2"/>
      <c r="T801" s="2"/>
      <c r="U801" s="2"/>
      <c r="V801" s="105"/>
    </row>
    <row r="802" spans="1:22" x14ac:dyDescent="0.25">
      <c r="A802" s="106"/>
      <c r="F802" s="105"/>
      <c r="H802" s="105"/>
      <c r="J802" s="105"/>
      <c r="K802" s="2"/>
      <c r="L802" s="105"/>
      <c r="M802" s="2"/>
      <c r="N802" s="105"/>
      <c r="O802" s="2"/>
      <c r="P802" s="2"/>
      <c r="Q802" s="2"/>
      <c r="R802" s="2"/>
      <c r="S802" s="2"/>
      <c r="T802" s="2"/>
      <c r="U802" s="2"/>
      <c r="V802" s="105"/>
    </row>
    <row r="803" spans="1:22" x14ac:dyDescent="0.25">
      <c r="A803" s="106"/>
      <c r="F803" s="105"/>
      <c r="H803" s="105"/>
      <c r="J803" s="105"/>
      <c r="K803" s="2"/>
      <c r="L803" s="105"/>
      <c r="M803" s="2"/>
      <c r="N803" s="105"/>
      <c r="O803" s="2"/>
      <c r="P803" s="2"/>
      <c r="Q803" s="2"/>
      <c r="R803" s="2"/>
      <c r="S803" s="2"/>
      <c r="T803" s="2"/>
      <c r="U803" s="2"/>
      <c r="V803" s="105"/>
    </row>
    <row r="804" spans="1:22" x14ac:dyDescent="0.25">
      <c r="A804" s="106"/>
      <c r="F804" s="105"/>
      <c r="H804" s="105"/>
      <c r="J804" s="105"/>
      <c r="K804" s="2"/>
      <c r="L804" s="105"/>
      <c r="M804" s="2"/>
      <c r="N804" s="105"/>
      <c r="O804" s="2"/>
      <c r="P804" s="2"/>
      <c r="Q804" s="2"/>
      <c r="R804" s="2"/>
      <c r="S804" s="2"/>
      <c r="T804" s="2"/>
      <c r="U804" s="2"/>
      <c r="V804" s="105"/>
    </row>
    <row r="805" spans="1:22" x14ac:dyDescent="0.25">
      <c r="A805" s="106"/>
      <c r="F805" s="105"/>
      <c r="H805" s="105"/>
      <c r="J805" s="105"/>
      <c r="K805" s="2"/>
      <c r="L805" s="105"/>
      <c r="M805" s="2"/>
      <c r="N805" s="105"/>
      <c r="O805" s="2"/>
      <c r="P805" s="2"/>
      <c r="Q805" s="2"/>
      <c r="R805" s="2"/>
      <c r="S805" s="2"/>
      <c r="T805" s="2"/>
      <c r="U805" s="2"/>
      <c r="V805" s="105"/>
    </row>
    <row r="806" spans="1:22" x14ac:dyDescent="0.25">
      <c r="A806" s="106"/>
      <c r="F806" s="105"/>
      <c r="H806" s="105"/>
      <c r="J806" s="105"/>
      <c r="K806" s="2"/>
      <c r="L806" s="105"/>
      <c r="M806" s="2"/>
      <c r="N806" s="105"/>
      <c r="O806" s="2"/>
      <c r="P806" s="2"/>
      <c r="Q806" s="2"/>
      <c r="R806" s="2"/>
      <c r="S806" s="2"/>
      <c r="T806" s="2"/>
      <c r="U806" s="2"/>
      <c r="V806" s="105"/>
    </row>
    <row r="807" spans="1:22" x14ac:dyDescent="0.25">
      <c r="A807" s="106"/>
      <c r="F807" s="105"/>
      <c r="H807" s="105"/>
      <c r="J807" s="105"/>
      <c r="K807" s="2"/>
      <c r="L807" s="105"/>
      <c r="M807" s="2"/>
      <c r="N807" s="105"/>
      <c r="O807" s="2"/>
      <c r="P807" s="2"/>
      <c r="Q807" s="2"/>
      <c r="R807" s="2"/>
      <c r="S807" s="2"/>
      <c r="T807" s="2"/>
      <c r="U807" s="2"/>
      <c r="V807" s="105"/>
    </row>
    <row r="808" spans="1:22" x14ac:dyDescent="0.25">
      <c r="A808" s="106"/>
      <c r="F808" s="105"/>
      <c r="H808" s="105"/>
      <c r="J808" s="105"/>
      <c r="K808" s="2"/>
      <c r="L808" s="105"/>
      <c r="M808" s="2"/>
      <c r="N808" s="105"/>
      <c r="O808" s="2"/>
      <c r="P808" s="2"/>
      <c r="Q808" s="2"/>
      <c r="R808" s="2"/>
      <c r="S808" s="2"/>
      <c r="T808" s="2"/>
      <c r="U808" s="2"/>
      <c r="V808" s="105"/>
    </row>
    <row r="809" spans="1:22" x14ac:dyDescent="0.25">
      <c r="A809" s="106"/>
      <c r="F809" s="105"/>
      <c r="H809" s="105"/>
      <c r="J809" s="105"/>
      <c r="K809" s="2"/>
      <c r="L809" s="105"/>
      <c r="M809" s="2"/>
      <c r="N809" s="105"/>
      <c r="O809" s="2"/>
      <c r="P809" s="2"/>
      <c r="Q809" s="2"/>
      <c r="R809" s="2"/>
      <c r="S809" s="2"/>
      <c r="T809" s="2"/>
      <c r="U809" s="2"/>
      <c r="V809" s="105"/>
    </row>
    <row r="810" spans="1:22" x14ac:dyDescent="0.25">
      <c r="A810" s="106"/>
      <c r="F810" s="105"/>
      <c r="H810" s="105"/>
      <c r="J810" s="105"/>
      <c r="K810" s="2"/>
      <c r="L810" s="105"/>
      <c r="M810" s="2"/>
      <c r="N810" s="105"/>
      <c r="O810" s="2"/>
      <c r="P810" s="2"/>
      <c r="Q810" s="2"/>
      <c r="R810" s="2"/>
      <c r="S810" s="2"/>
      <c r="T810" s="2"/>
      <c r="U810" s="2"/>
      <c r="V810" s="105"/>
    </row>
    <row r="811" spans="1:22" x14ac:dyDescent="0.25">
      <c r="A811" s="106"/>
      <c r="F811" s="105"/>
      <c r="H811" s="105"/>
      <c r="J811" s="105"/>
      <c r="K811" s="2"/>
      <c r="L811" s="105"/>
      <c r="M811" s="2"/>
      <c r="N811" s="105"/>
      <c r="O811" s="2"/>
      <c r="P811" s="2"/>
      <c r="Q811" s="2"/>
      <c r="R811" s="2"/>
      <c r="S811" s="2"/>
      <c r="T811" s="2"/>
      <c r="U811" s="2"/>
      <c r="V811" s="105"/>
    </row>
    <row r="812" spans="1:22" x14ac:dyDescent="0.25">
      <c r="A812" s="106"/>
      <c r="F812" s="105"/>
      <c r="H812" s="105"/>
      <c r="J812" s="105"/>
      <c r="K812" s="2"/>
      <c r="L812" s="105"/>
      <c r="M812" s="2"/>
      <c r="N812" s="105"/>
      <c r="O812" s="2"/>
      <c r="P812" s="2"/>
      <c r="Q812" s="2"/>
      <c r="R812" s="2"/>
      <c r="S812" s="2"/>
      <c r="T812" s="2"/>
      <c r="U812" s="2"/>
      <c r="V812" s="105"/>
    </row>
    <row r="813" spans="1:22" x14ac:dyDescent="0.25">
      <c r="A813" s="106"/>
      <c r="F813" s="105"/>
      <c r="H813" s="105"/>
      <c r="J813" s="105"/>
      <c r="K813" s="2"/>
      <c r="L813" s="105"/>
      <c r="M813" s="2"/>
      <c r="N813" s="105"/>
      <c r="O813" s="2"/>
      <c r="P813" s="2"/>
      <c r="Q813" s="2"/>
      <c r="R813" s="2"/>
      <c r="S813" s="2"/>
      <c r="T813" s="2"/>
      <c r="U813" s="2"/>
      <c r="V813" s="105"/>
    </row>
    <row r="814" spans="1:22" x14ac:dyDescent="0.25">
      <c r="A814" s="106"/>
      <c r="F814" s="105"/>
      <c r="H814" s="105"/>
      <c r="J814" s="105"/>
      <c r="K814" s="2"/>
      <c r="L814" s="105"/>
      <c r="M814" s="2"/>
      <c r="N814" s="105"/>
      <c r="O814" s="2"/>
      <c r="P814" s="2"/>
      <c r="Q814" s="2"/>
      <c r="R814" s="2"/>
      <c r="S814" s="2"/>
      <c r="T814" s="2"/>
      <c r="U814" s="2"/>
      <c r="V814" s="105"/>
    </row>
    <row r="815" spans="1:22" x14ac:dyDescent="0.25">
      <c r="A815" s="106"/>
      <c r="F815" s="105"/>
      <c r="H815" s="105"/>
      <c r="J815" s="105"/>
      <c r="K815" s="2"/>
      <c r="L815" s="105"/>
      <c r="M815" s="2"/>
      <c r="N815" s="105"/>
      <c r="O815" s="2"/>
      <c r="P815" s="2"/>
      <c r="Q815" s="2"/>
      <c r="R815" s="2"/>
      <c r="S815" s="2"/>
      <c r="T815" s="2"/>
      <c r="U815" s="2"/>
      <c r="V815" s="105"/>
    </row>
    <row r="816" spans="1:22" x14ac:dyDescent="0.25">
      <c r="A816" s="106"/>
      <c r="F816" s="105"/>
      <c r="H816" s="105"/>
      <c r="J816" s="105"/>
      <c r="K816" s="2"/>
      <c r="L816" s="105"/>
      <c r="M816" s="2"/>
      <c r="N816" s="105"/>
      <c r="O816" s="2"/>
      <c r="P816" s="2"/>
      <c r="Q816" s="2"/>
      <c r="R816" s="2"/>
      <c r="S816" s="2"/>
      <c r="T816" s="2"/>
      <c r="U816" s="2"/>
      <c r="V816" s="105"/>
    </row>
    <row r="817" spans="1:22" x14ac:dyDescent="0.25">
      <c r="A817" s="106"/>
      <c r="F817" s="105"/>
      <c r="H817" s="105"/>
      <c r="J817" s="105"/>
      <c r="K817" s="2"/>
      <c r="L817" s="105"/>
      <c r="M817" s="2"/>
      <c r="N817" s="105"/>
      <c r="O817" s="2"/>
      <c r="P817" s="2"/>
      <c r="Q817" s="2"/>
      <c r="R817" s="2"/>
      <c r="S817" s="2"/>
      <c r="T817" s="2"/>
      <c r="U817" s="2"/>
      <c r="V817" s="105"/>
    </row>
    <row r="818" spans="1:22" x14ac:dyDescent="0.25">
      <c r="A818" s="106"/>
      <c r="F818" s="105"/>
      <c r="H818" s="105"/>
      <c r="J818" s="105"/>
      <c r="K818" s="2"/>
      <c r="L818" s="105"/>
      <c r="M818" s="2"/>
      <c r="N818" s="105"/>
      <c r="O818" s="2"/>
      <c r="P818" s="2"/>
      <c r="Q818" s="2"/>
      <c r="R818" s="2"/>
      <c r="S818" s="2"/>
      <c r="T818" s="2"/>
      <c r="U818" s="2"/>
      <c r="V818" s="105"/>
    </row>
    <row r="819" spans="1:22" x14ac:dyDescent="0.25">
      <c r="A819" s="106"/>
      <c r="F819" s="105"/>
      <c r="H819" s="105"/>
      <c r="J819" s="105"/>
      <c r="K819" s="2"/>
      <c r="L819" s="105"/>
      <c r="M819" s="2"/>
      <c r="N819" s="105"/>
      <c r="O819" s="2"/>
      <c r="P819" s="2"/>
      <c r="Q819" s="2"/>
      <c r="R819" s="2"/>
      <c r="S819" s="2"/>
      <c r="T819" s="2"/>
      <c r="U819" s="2"/>
      <c r="V819" s="105"/>
    </row>
    <row r="820" spans="1:22" x14ac:dyDescent="0.25">
      <c r="A820" s="106"/>
      <c r="F820" s="105"/>
      <c r="H820" s="105"/>
      <c r="J820" s="105"/>
      <c r="K820" s="2"/>
      <c r="L820" s="105"/>
      <c r="M820" s="2"/>
      <c r="N820" s="105"/>
      <c r="O820" s="2"/>
      <c r="P820" s="2"/>
      <c r="Q820" s="2"/>
      <c r="R820" s="2"/>
      <c r="S820" s="2"/>
      <c r="T820" s="2"/>
      <c r="U820" s="2"/>
      <c r="V820" s="105"/>
    </row>
    <row r="821" spans="1:22" x14ac:dyDescent="0.25">
      <c r="A821" s="106"/>
      <c r="F821" s="105"/>
      <c r="H821" s="105"/>
      <c r="J821" s="105"/>
      <c r="K821" s="2"/>
      <c r="L821" s="105"/>
      <c r="M821" s="2"/>
      <c r="N821" s="105"/>
      <c r="O821" s="2"/>
      <c r="P821" s="2"/>
      <c r="Q821" s="2"/>
      <c r="R821" s="2"/>
      <c r="S821" s="2"/>
      <c r="T821" s="2"/>
      <c r="U821" s="2"/>
      <c r="V821" s="105"/>
    </row>
    <row r="822" spans="1:22" x14ac:dyDescent="0.25">
      <c r="A822" s="106"/>
      <c r="F822" s="105"/>
      <c r="H822" s="105"/>
      <c r="J822" s="105"/>
      <c r="K822" s="2"/>
      <c r="L822" s="105"/>
      <c r="M822" s="2"/>
      <c r="N822" s="105"/>
      <c r="O822" s="2"/>
      <c r="P822" s="2"/>
      <c r="Q822" s="2"/>
      <c r="R822" s="2"/>
      <c r="S822" s="2"/>
      <c r="T822" s="2"/>
      <c r="U822" s="2"/>
      <c r="V822" s="105"/>
    </row>
    <row r="823" spans="1:22" x14ac:dyDescent="0.25">
      <c r="A823" s="106"/>
      <c r="F823" s="105"/>
      <c r="H823" s="105"/>
      <c r="J823" s="105"/>
      <c r="K823" s="2"/>
      <c r="L823" s="105"/>
      <c r="M823" s="2"/>
      <c r="N823" s="105"/>
      <c r="O823" s="2"/>
      <c r="P823" s="2"/>
      <c r="Q823" s="2"/>
      <c r="R823" s="2"/>
      <c r="S823" s="2"/>
      <c r="T823" s="2"/>
      <c r="U823" s="2"/>
      <c r="V823" s="105"/>
    </row>
    <row r="824" spans="1:22" x14ac:dyDescent="0.25">
      <c r="A824" s="106"/>
      <c r="F824" s="105"/>
      <c r="H824" s="105"/>
      <c r="J824" s="105"/>
      <c r="K824" s="2"/>
      <c r="L824" s="105"/>
      <c r="M824" s="2"/>
      <c r="N824" s="105"/>
      <c r="O824" s="2"/>
      <c r="P824" s="2"/>
      <c r="Q824" s="2"/>
      <c r="R824" s="2"/>
      <c r="S824" s="2"/>
      <c r="T824" s="2"/>
      <c r="U824" s="2"/>
      <c r="V824" s="105"/>
    </row>
    <row r="825" spans="1:22" x14ac:dyDescent="0.25">
      <c r="A825" s="106"/>
      <c r="F825" s="105"/>
      <c r="H825" s="105"/>
      <c r="J825" s="105"/>
      <c r="K825" s="2"/>
      <c r="L825" s="105"/>
      <c r="M825" s="2"/>
      <c r="N825" s="105"/>
      <c r="O825" s="2"/>
      <c r="P825" s="2"/>
      <c r="Q825" s="2"/>
      <c r="R825" s="2"/>
      <c r="S825" s="2"/>
      <c r="T825" s="2"/>
      <c r="U825" s="2"/>
      <c r="V825" s="105"/>
    </row>
    <row r="826" spans="1:22" x14ac:dyDescent="0.25">
      <c r="A826" s="106"/>
      <c r="F826" s="105"/>
      <c r="H826" s="105"/>
      <c r="J826" s="105"/>
      <c r="K826" s="2"/>
      <c r="L826" s="105"/>
      <c r="M826" s="2"/>
      <c r="N826" s="105"/>
      <c r="O826" s="2"/>
      <c r="P826" s="2"/>
      <c r="Q826" s="2"/>
      <c r="R826" s="2"/>
      <c r="S826" s="2"/>
      <c r="T826" s="2"/>
      <c r="U826" s="2"/>
      <c r="V826" s="105"/>
    </row>
    <row r="827" spans="1:22" x14ac:dyDescent="0.25">
      <c r="A827" s="106"/>
      <c r="F827" s="105"/>
      <c r="H827" s="105"/>
      <c r="J827" s="105"/>
      <c r="K827" s="2"/>
      <c r="L827" s="105"/>
      <c r="M827" s="2"/>
      <c r="N827" s="105"/>
      <c r="O827" s="2"/>
      <c r="P827" s="2"/>
      <c r="Q827" s="2"/>
      <c r="R827" s="2"/>
      <c r="S827" s="2"/>
      <c r="T827" s="2"/>
      <c r="U827" s="2"/>
      <c r="V827" s="105"/>
    </row>
    <row r="828" spans="1:22" x14ac:dyDescent="0.25">
      <c r="A828" s="106"/>
      <c r="F828" s="105"/>
      <c r="H828" s="105"/>
      <c r="J828" s="105"/>
      <c r="K828" s="2"/>
      <c r="L828" s="105"/>
      <c r="M828" s="2"/>
      <c r="N828" s="105"/>
      <c r="O828" s="2"/>
      <c r="P828" s="2"/>
      <c r="Q828" s="2"/>
      <c r="R828" s="2"/>
      <c r="S828" s="2"/>
      <c r="T828" s="2"/>
      <c r="U828" s="2"/>
      <c r="V828" s="105"/>
    </row>
    <row r="829" spans="1:22" x14ac:dyDescent="0.25">
      <c r="A829" s="106"/>
      <c r="F829" s="105"/>
      <c r="H829" s="105"/>
      <c r="J829" s="105"/>
      <c r="K829" s="2"/>
      <c r="L829" s="105"/>
      <c r="M829" s="2"/>
      <c r="N829" s="105"/>
      <c r="O829" s="2"/>
      <c r="P829" s="2"/>
      <c r="Q829" s="2"/>
      <c r="R829" s="2"/>
      <c r="S829" s="2"/>
      <c r="T829" s="2"/>
      <c r="U829" s="2"/>
      <c r="V829" s="105"/>
    </row>
    <row r="830" spans="1:22" x14ac:dyDescent="0.25">
      <c r="A830" s="106"/>
      <c r="F830" s="105"/>
      <c r="H830" s="105"/>
      <c r="J830" s="105"/>
      <c r="K830" s="2"/>
      <c r="L830" s="105"/>
      <c r="M830" s="2"/>
      <c r="N830" s="105"/>
      <c r="O830" s="2"/>
      <c r="P830" s="2"/>
      <c r="Q830" s="2"/>
      <c r="R830" s="2"/>
      <c r="S830" s="2"/>
      <c r="T830" s="2"/>
      <c r="U830" s="2"/>
      <c r="V830" s="105"/>
    </row>
    <row r="831" spans="1:22" x14ac:dyDescent="0.25">
      <c r="A831" s="106"/>
      <c r="F831" s="105"/>
      <c r="H831" s="105"/>
      <c r="J831" s="105"/>
      <c r="K831" s="2"/>
      <c r="L831" s="105"/>
      <c r="M831" s="2"/>
      <c r="N831" s="105"/>
      <c r="O831" s="2"/>
      <c r="P831" s="2"/>
      <c r="Q831" s="2"/>
      <c r="R831" s="2"/>
      <c r="S831" s="2"/>
      <c r="T831" s="2"/>
      <c r="U831" s="2"/>
      <c r="V831" s="105"/>
    </row>
    <row r="832" spans="1:22" x14ac:dyDescent="0.25">
      <c r="A832" s="106"/>
      <c r="F832" s="105"/>
      <c r="H832" s="105"/>
      <c r="J832" s="105"/>
      <c r="K832" s="2"/>
      <c r="L832" s="105"/>
      <c r="M832" s="2"/>
      <c r="N832" s="105"/>
      <c r="O832" s="2"/>
      <c r="P832" s="2"/>
      <c r="Q832" s="2"/>
      <c r="R832" s="2"/>
      <c r="S832" s="2"/>
      <c r="T832" s="2"/>
      <c r="U832" s="2"/>
      <c r="V832" s="105"/>
    </row>
    <row r="833" spans="1:22" x14ac:dyDescent="0.25">
      <c r="A833" s="106"/>
      <c r="F833" s="105"/>
      <c r="H833" s="105"/>
      <c r="J833" s="105"/>
      <c r="K833" s="2"/>
      <c r="L833" s="105"/>
      <c r="M833" s="2"/>
      <c r="N833" s="105"/>
      <c r="O833" s="2"/>
      <c r="P833" s="2"/>
      <c r="Q833" s="2"/>
      <c r="R833" s="2"/>
      <c r="S833" s="2"/>
      <c r="T833" s="2"/>
      <c r="U833" s="2"/>
      <c r="V833" s="105"/>
    </row>
    <row r="834" spans="1:22" x14ac:dyDescent="0.25">
      <c r="A834" s="106"/>
      <c r="F834" s="105"/>
      <c r="H834" s="105"/>
      <c r="J834" s="105"/>
      <c r="K834" s="2"/>
      <c r="L834" s="105"/>
      <c r="M834" s="2"/>
      <c r="N834" s="105"/>
      <c r="O834" s="2"/>
      <c r="P834" s="2"/>
      <c r="Q834" s="2"/>
      <c r="R834" s="2"/>
      <c r="S834" s="2"/>
      <c r="T834" s="2"/>
      <c r="U834" s="2"/>
      <c r="V834" s="105"/>
    </row>
    <row r="835" spans="1:22" x14ac:dyDescent="0.25">
      <c r="A835" s="106"/>
      <c r="F835" s="105"/>
      <c r="H835" s="105"/>
      <c r="J835" s="105"/>
      <c r="K835" s="2"/>
      <c r="L835" s="105"/>
      <c r="M835" s="2"/>
      <c r="N835" s="105"/>
      <c r="O835" s="2"/>
      <c r="P835" s="2"/>
      <c r="Q835" s="2"/>
      <c r="R835" s="2"/>
      <c r="S835" s="2"/>
      <c r="T835" s="2"/>
      <c r="U835" s="2"/>
      <c r="V835" s="105"/>
    </row>
    <row r="836" spans="1:22" x14ac:dyDescent="0.25">
      <c r="A836" s="106"/>
      <c r="F836" s="105"/>
      <c r="H836" s="105"/>
      <c r="J836" s="105"/>
      <c r="K836" s="2"/>
      <c r="L836" s="105"/>
      <c r="M836" s="2"/>
      <c r="N836" s="105"/>
      <c r="O836" s="2"/>
      <c r="P836" s="2"/>
      <c r="Q836" s="2"/>
      <c r="R836" s="2"/>
      <c r="S836" s="2"/>
      <c r="T836" s="2"/>
      <c r="U836" s="2"/>
      <c r="V836" s="105"/>
    </row>
    <row r="837" spans="1:22" x14ac:dyDescent="0.25">
      <c r="A837" s="106"/>
      <c r="F837" s="105"/>
      <c r="H837" s="105"/>
      <c r="J837" s="105"/>
      <c r="K837" s="2"/>
      <c r="L837" s="105"/>
      <c r="M837" s="2"/>
      <c r="N837" s="105"/>
      <c r="O837" s="2"/>
      <c r="P837" s="2"/>
      <c r="Q837" s="2"/>
      <c r="R837" s="2"/>
      <c r="S837" s="2"/>
      <c r="T837" s="2"/>
      <c r="U837" s="2"/>
      <c r="V837" s="105"/>
    </row>
    <row r="838" spans="1:22" x14ac:dyDescent="0.25">
      <c r="A838" s="106"/>
      <c r="F838" s="105"/>
      <c r="H838" s="105"/>
      <c r="J838" s="105"/>
      <c r="K838" s="2"/>
      <c r="L838" s="105"/>
      <c r="M838" s="2"/>
      <c r="N838" s="105"/>
      <c r="O838" s="2"/>
      <c r="P838" s="2"/>
      <c r="Q838" s="2"/>
      <c r="R838" s="2"/>
      <c r="S838" s="2"/>
      <c r="T838" s="2"/>
      <c r="U838" s="2"/>
      <c r="V838" s="105"/>
    </row>
    <row r="839" spans="1:22" x14ac:dyDescent="0.25">
      <c r="A839" s="106"/>
      <c r="F839" s="105"/>
      <c r="H839" s="105"/>
      <c r="J839" s="105"/>
      <c r="K839" s="2"/>
      <c r="L839" s="105"/>
      <c r="M839" s="2"/>
      <c r="N839" s="105"/>
      <c r="O839" s="2"/>
      <c r="P839" s="2"/>
      <c r="Q839" s="2"/>
      <c r="R839" s="2"/>
      <c r="S839" s="2"/>
      <c r="T839" s="2"/>
      <c r="U839" s="2"/>
      <c r="V839" s="105"/>
    </row>
    <row r="840" spans="1:22" x14ac:dyDescent="0.25">
      <c r="A840" s="106"/>
      <c r="F840" s="105"/>
      <c r="H840" s="105"/>
      <c r="J840" s="105"/>
      <c r="K840" s="2"/>
      <c r="L840" s="105"/>
      <c r="M840" s="2"/>
      <c r="N840" s="105"/>
      <c r="O840" s="2"/>
      <c r="P840" s="2"/>
      <c r="Q840" s="2"/>
      <c r="R840" s="2"/>
      <c r="S840" s="2"/>
      <c r="T840" s="2"/>
      <c r="U840" s="2"/>
      <c r="V840" s="105"/>
    </row>
    <row r="841" spans="1:22" x14ac:dyDescent="0.25">
      <c r="A841" s="106"/>
      <c r="F841" s="105"/>
      <c r="H841" s="105"/>
      <c r="J841" s="105"/>
      <c r="K841" s="2"/>
      <c r="L841" s="105"/>
      <c r="M841" s="2"/>
      <c r="N841" s="105"/>
      <c r="O841" s="2"/>
      <c r="P841" s="2"/>
      <c r="Q841" s="2"/>
      <c r="R841" s="2"/>
      <c r="S841" s="2"/>
      <c r="T841" s="2"/>
      <c r="U841" s="2"/>
      <c r="V841" s="105"/>
    </row>
    <row r="842" spans="1:22" x14ac:dyDescent="0.25">
      <c r="A842" s="106"/>
      <c r="F842" s="105"/>
      <c r="H842" s="105"/>
      <c r="J842" s="105"/>
      <c r="K842" s="2"/>
      <c r="L842" s="105"/>
      <c r="M842" s="2"/>
      <c r="N842" s="105"/>
      <c r="O842" s="2"/>
      <c r="P842" s="2"/>
      <c r="Q842" s="2"/>
      <c r="R842" s="2"/>
      <c r="S842" s="2"/>
      <c r="T842" s="2"/>
      <c r="U842" s="2"/>
      <c r="V842" s="105"/>
    </row>
    <row r="843" spans="1:22" x14ac:dyDescent="0.25">
      <c r="A843" s="106"/>
      <c r="F843" s="105"/>
      <c r="H843" s="105"/>
      <c r="J843" s="105"/>
      <c r="K843" s="2"/>
      <c r="L843" s="105"/>
      <c r="M843" s="2"/>
      <c r="N843" s="105"/>
      <c r="O843" s="2"/>
      <c r="P843" s="2"/>
      <c r="Q843" s="2"/>
      <c r="R843" s="2"/>
      <c r="S843" s="2"/>
      <c r="T843" s="2"/>
      <c r="U843" s="2"/>
      <c r="V843" s="105"/>
    </row>
    <row r="844" spans="1:22" x14ac:dyDescent="0.25">
      <c r="A844" s="106"/>
      <c r="F844" s="105"/>
      <c r="H844" s="105"/>
      <c r="J844" s="105"/>
      <c r="K844" s="2"/>
      <c r="L844" s="105"/>
      <c r="M844" s="2"/>
      <c r="N844" s="105"/>
      <c r="O844" s="2"/>
      <c r="P844" s="2"/>
      <c r="Q844" s="2"/>
      <c r="R844" s="2"/>
      <c r="S844" s="2"/>
      <c r="T844" s="2"/>
      <c r="U844" s="2"/>
      <c r="V844" s="105"/>
    </row>
    <row r="845" spans="1:22" x14ac:dyDescent="0.25">
      <c r="A845" s="106"/>
      <c r="F845" s="105"/>
      <c r="H845" s="105"/>
      <c r="J845" s="105"/>
      <c r="K845" s="2"/>
      <c r="L845" s="105"/>
      <c r="M845" s="2"/>
      <c r="N845" s="105"/>
      <c r="O845" s="2"/>
      <c r="P845" s="2"/>
      <c r="Q845" s="2"/>
      <c r="R845" s="2"/>
      <c r="S845" s="2"/>
      <c r="T845" s="2"/>
      <c r="U845" s="2"/>
      <c r="V845" s="105"/>
    </row>
    <row r="846" spans="1:22" x14ac:dyDescent="0.25">
      <c r="A846" s="106"/>
      <c r="F846" s="105"/>
      <c r="H846" s="105"/>
      <c r="J846" s="105"/>
      <c r="K846" s="2"/>
      <c r="L846" s="105"/>
      <c r="M846" s="2"/>
      <c r="N846" s="105"/>
      <c r="O846" s="2"/>
      <c r="P846" s="2"/>
      <c r="Q846" s="2"/>
      <c r="R846" s="2"/>
      <c r="S846" s="2"/>
      <c r="T846" s="2"/>
      <c r="U846" s="2"/>
      <c r="V846" s="105"/>
    </row>
    <row r="847" spans="1:22" x14ac:dyDescent="0.25">
      <c r="A847" s="106"/>
      <c r="F847" s="105"/>
      <c r="H847" s="105"/>
      <c r="J847" s="105"/>
      <c r="K847" s="2"/>
      <c r="L847" s="105"/>
      <c r="M847" s="2"/>
      <c r="N847" s="105"/>
      <c r="O847" s="2"/>
      <c r="P847" s="2"/>
      <c r="Q847" s="2"/>
      <c r="R847" s="2"/>
      <c r="S847" s="2"/>
      <c r="T847" s="2"/>
      <c r="U847" s="2"/>
      <c r="V847" s="105"/>
    </row>
    <row r="848" spans="1:22" x14ac:dyDescent="0.25">
      <c r="A848" s="106"/>
      <c r="F848" s="105"/>
      <c r="H848" s="105"/>
      <c r="J848" s="105"/>
      <c r="K848" s="2"/>
      <c r="L848" s="105"/>
      <c r="M848" s="2"/>
      <c r="N848" s="105"/>
      <c r="O848" s="2"/>
      <c r="P848" s="2"/>
      <c r="Q848" s="2"/>
      <c r="R848" s="2"/>
      <c r="S848" s="2"/>
      <c r="T848" s="2"/>
      <c r="U848" s="2"/>
      <c r="V848" s="105"/>
    </row>
    <row r="849" spans="1:22" x14ac:dyDescent="0.25">
      <c r="A849" s="106"/>
      <c r="F849" s="105"/>
      <c r="H849" s="105"/>
      <c r="J849" s="105"/>
      <c r="K849" s="2"/>
      <c r="L849" s="105"/>
      <c r="M849" s="2"/>
      <c r="N849" s="105"/>
      <c r="O849" s="2"/>
      <c r="P849" s="2"/>
      <c r="Q849" s="2"/>
      <c r="R849" s="2"/>
      <c r="S849" s="2"/>
      <c r="T849" s="2"/>
      <c r="U849" s="2"/>
      <c r="V849" s="105"/>
    </row>
    <row r="850" spans="1:22" x14ac:dyDescent="0.25">
      <c r="A850" s="106"/>
      <c r="F850" s="105"/>
      <c r="H850" s="105"/>
      <c r="J850" s="105"/>
      <c r="K850" s="2"/>
      <c r="L850" s="105"/>
      <c r="M850" s="2"/>
      <c r="N850" s="105"/>
      <c r="O850" s="2"/>
      <c r="P850" s="2"/>
      <c r="Q850" s="2"/>
      <c r="R850" s="2"/>
      <c r="S850" s="2"/>
      <c r="T850" s="2"/>
      <c r="U850" s="2"/>
      <c r="V850" s="105"/>
    </row>
    <row r="851" spans="1:22" x14ac:dyDescent="0.25">
      <c r="A851" s="106"/>
      <c r="F851" s="105"/>
      <c r="H851" s="105"/>
      <c r="J851" s="105"/>
      <c r="K851" s="2"/>
      <c r="L851" s="105"/>
      <c r="M851" s="2"/>
      <c r="N851" s="105"/>
      <c r="O851" s="2"/>
      <c r="P851" s="2"/>
      <c r="Q851" s="2"/>
      <c r="R851" s="2"/>
      <c r="S851" s="2"/>
      <c r="T851" s="2"/>
      <c r="U851" s="2"/>
      <c r="V851" s="105"/>
    </row>
    <row r="852" spans="1:22" x14ac:dyDescent="0.25">
      <c r="A852" s="106"/>
      <c r="F852" s="105"/>
      <c r="H852" s="105"/>
      <c r="J852" s="105"/>
      <c r="K852" s="2"/>
      <c r="L852" s="105"/>
      <c r="M852" s="2"/>
      <c r="N852" s="105"/>
      <c r="O852" s="2"/>
      <c r="P852" s="2"/>
      <c r="Q852" s="2"/>
      <c r="R852" s="2"/>
      <c r="S852" s="2"/>
      <c r="T852" s="2"/>
      <c r="U852" s="2"/>
      <c r="V852" s="105"/>
    </row>
    <row r="853" spans="1:22" x14ac:dyDescent="0.25">
      <c r="A853" s="106"/>
      <c r="F853" s="105"/>
      <c r="H853" s="105"/>
      <c r="J853" s="105"/>
      <c r="K853" s="2"/>
      <c r="L853" s="105"/>
      <c r="M853" s="2"/>
      <c r="N853" s="105"/>
      <c r="O853" s="2"/>
      <c r="P853" s="2"/>
      <c r="Q853" s="2"/>
      <c r="R853" s="2"/>
      <c r="S853" s="2"/>
      <c r="T853" s="2"/>
      <c r="U853" s="2"/>
      <c r="V853" s="105"/>
    </row>
    <row r="854" spans="1:22" x14ac:dyDescent="0.25">
      <c r="A854" s="106"/>
      <c r="F854" s="105"/>
      <c r="H854" s="105"/>
      <c r="J854" s="105"/>
      <c r="K854" s="2"/>
      <c r="L854" s="105"/>
      <c r="M854" s="2"/>
      <c r="N854" s="105"/>
      <c r="O854" s="2"/>
      <c r="P854" s="2"/>
      <c r="Q854" s="2"/>
      <c r="R854" s="2"/>
      <c r="S854" s="2"/>
      <c r="T854" s="2"/>
      <c r="U854" s="2"/>
      <c r="V854" s="105"/>
    </row>
    <row r="855" spans="1:22" x14ac:dyDescent="0.25">
      <c r="A855" s="106"/>
      <c r="F855" s="105"/>
      <c r="H855" s="105"/>
      <c r="J855" s="105"/>
      <c r="K855" s="2"/>
      <c r="L855" s="105"/>
      <c r="M855" s="2"/>
      <c r="N855" s="105"/>
      <c r="O855" s="2"/>
      <c r="P855" s="2"/>
      <c r="Q855" s="2"/>
      <c r="R855" s="2"/>
      <c r="S855" s="2"/>
      <c r="T855" s="2"/>
      <c r="U855" s="2"/>
      <c r="V855" s="105"/>
    </row>
    <row r="856" spans="1:22" x14ac:dyDescent="0.25">
      <c r="A856" s="106"/>
      <c r="F856" s="105"/>
      <c r="H856" s="105"/>
      <c r="J856" s="105"/>
      <c r="K856" s="2"/>
      <c r="L856" s="105"/>
      <c r="M856" s="2"/>
      <c r="N856" s="105"/>
      <c r="O856" s="2"/>
      <c r="P856" s="2"/>
      <c r="Q856" s="2"/>
      <c r="R856" s="2"/>
      <c r="S856" s="2"/>
      <c r="T856" s="2"/>
      <c r="U856" s="2"/>
      <c r="V856" s="105"/>
    </row>
    <row r="857" spans="1:22" x14ac:dyDescent="0.25">
      <c r="A857" s="106"/>
      <c r="F857" s="105"/>
      <c r="H857" s="105"/>
      <c r="J857" s="105"/>
      <c r="K857" s="2"/>
      <c r="L857" s="105"/>
      <c r="M857" s="2"/>
      <c r="N857" s="105"/>
      <c r="O857" s="2"/>
      <c r="P857" s="2"/>
      <c r="Q857" s="2"/>
      <c r="R857" s="2"/>
      <c r="S857" s="2"/>
      <c r="T857" s="2"/>
      <c r="U857" s="2"/>
      <c r="V857" s="105"/>
    </row>
    <row r="858" spans="1:22" x14ac:dyDescent="0.25">
      <c r="A858" s="106"/>
      <c r="F858" s="105"/>
      <c r="H858" s="105"/>
      <c r="J858" s="105"/>
      <c r="K858" s="2"/>
      <c r="L858" s="105"/>
      <c r="M858" s="2"/>
      <c r="N858" s="105"/>
      <c r="O858" s="2"/>
      <c r="P858" s="2"/>
      <c r="Q858" s="2"/>
      <c r="R858" s="2"/>
      <c r="S858" s="2"/>
      <c r="T858" s="2"/>
      <c r="U858" s="2"/>
      <c r="V858" s="105"/>
    </row>
    <row r="859" spans="1:22" x14ac:dyDescent="0.25">
      <c r="A859" s="106"/>
      <c r="F859" s="105"/>
      <c r="H859" s="105"/>
      <c r="J859" s="105"/>
      <c r="K859" s="2"/>
      <c r="L859" s="105"/>
      <c r="M859" s="2"/>
      <c r="N859" s="105"/>
      <c r="O859" s="2"/>
      <c r="P859" s="2"/>
      <c r="Q859" s="2"/>
      <c r="R859" s="2"/>
      <c r="S859" s="2"/>
      <c r="T859" s="2"/>
      <c r="U859" s="2"/>
      <c r="V859" s="105"/>
    </row>
    <row r="860" spans="1:22" x14ac:dyDescent="0.25">
      <c r="A860" s="106"/>
      <c r="F860" s="105"/>
      <c r="H860" s="105"/>
      <c r="J860" s="105"/>
      <c r="K860" s="2"/>
      <c r="L860" s="105"/>
      <c r="M860" s="2"/>
      <c r="N860" s="105"/>
      <c r="O860" s="2"/>
      <c r="P860" s="2"/>
      <c r="Q860" s="2"/>
      <c r="R860" s="2"/>
      <c r="S860" s="2"/>
      <c r="T860" s="2"/>
      <c r="U860" s="2"/>
      <c r="V860" s="105"/>
    </row>
    <row r="861" spans="1:22" x14ac:dyDescent="0.25">
      <c r="A861" s="106"/>
      <c r="F861" s="105"/>
      <c r="H861" s="105"/>
      <c r="J861" s="105"/>
      <c r="K861" s="2"/>
      <c r="L861" s="105"/>
      <c r="M861" s="2"/>
      <c r="N861" s="105"/>
      <c r="O861" s="2"/>
      <c r="P861" s="2"/>
      <c r="Q861" s="2"/>
      <c r="R861" s="2"/>
      <c r="S861" s="2"/>
      <c r="T861" s="2"/>
      <c r="U861" s="2"/>
      <c r="V861" s="105"/>
    </row>
    <row r="862" spans="1:22" x14ac:dyDescent="0.25">
      <c r="A862" s="106"/>
      <c r="F862" s="105"/>
      <c r="H862" s="105"/>
      <c r="J862" s="105"/>
      <c r="K862" s="2"/>
      <c r="L862" s="105"/>
      <c r="M862" s="2"/>
      <c r="N862" s="105"/>
      <c r="O862" s="2"/>
      <c r="P862" s="2"/>
      <c r="Q862" s="2"/>
      <c r="R862" s="2"/>
      <c r="S862" s="2"/>
      <c r="T862" s="2"/>
      <c r="U862" s="2"/>
      <c r="V862" s="105"/>
    </row>
    <row r="863" spans="1:22" x14ac:dyDescent="0.25">
      <c r="A863" s="106"/>
      <c r="F863" s="105"/>
      <c r="H863" s="105"/>
      <c r="J863" s="105"/>
      <c r="K863" s="2"/>
      <c r="L863" s="105"/>
      <c r="M863" s="2"/>
      <c r="N863" s="105"/>
      <c r="O863" s="2"/>
      <c r="P863" s="2"/>
      <c r="Q863" s="2"/>
      <c r="R863" s="2"/>
      <c r="S863" s="2"/>
      <c r="T863" s="2"/>
      <c r="U863" s="2"/>
      <c r="V863" s="105"/>
    </row>
    <row r="864" spans="1:22" x14ac:dyDescent="0.25">
      <c r="A864" s="106"/>
      <c r="F864" s="105"/>
      <c r="H864" s="105"/>
      <c r="J864" s="105"/>
      <c r="K864" s="2"/>
      <c r="L864" s="105"/>
      <c r="M864" s="2"/>
      <c r="N864" s="105"/>
      <c r="O864" s="2"/>
      <c r="P864" s="2"/>
      <c r="Q864" s="2"/>
      <c r="R864" s="2"/>
      <c r="S864" s="2"/>
      <c r="T864" s="2"/>
      <c r="U864" s="2"/>
      <c r="V864" s="105"/>
    </row>
    <row r="865" spans="1:22" x14ac:dyDescent="0.25">
      <c r="A865" s="106"/>
      <c r="F865" s="105"/>
      <c r="H865" s="105"/>
      <c r="J865" s="105"/>
      <c r="K865" s="2"/>
      <c r="L865" s="105"/>
      <c r="M865" s="2"/>
      <c r="N865" s="105"/>
      <c r="O865" s="2"/>
      <c r="P865" s="2"/>
      <c r="Q865" s="2"/>
      <c r="R865" s="2"/>
      <c r="S865" s="2"/>
      <c r="T865" s="2"/>
      <c r="U865" s="2"/>
      <c r="V865" s="105"/>
    </row>
    <row r="866" spans="1:22" x14ac:dyDescent="0.25">
      <c r="A866" s="106"/>
      <c r="F866" s="105"/>
      <c r="H866" s="105"/>
      <c r="J866" s="105"/>
      <c r="K866" s="2"/>
      <c r="L866" s="105"/>
      <c r="M866" s="2"/>
      <c r="N866" s="105"/>
      <c r="O866" s="2"/>
      <c r="P866" s="2"/>
      <c r="Q866" s="2"/>
      <c r="R866" s="2"/>
      <c r="S866" s="2"/>
      <c r="T866" s="2"/>
      <c r="U866" s="2"/>
      <c r="V866" s="105"/>
    </row>
    <row r="867" spans="1:22" x14ac:dyDescent="0.25">
      <c r="A867" s="106"/>
      <c r="F867" s="105"/>
      <c r="H867" s="105"/>
      <c r="J867" s="105"/>
      <c r="K867" s="2"/>
      <c r="L867" s="105"/>
      <c r="M867" s="2"/>
      <c r="N867" s="105"/>
      <c r="O867" s="2"/>
      <c r="P867" s="2"/>
      <c r="Q867" s="2"/>
      <c r="R867" s="2"/>
      <c r="S867" s="2"/>
      <c r="T867" s="2"/>
      <c r="U867" s="2"/>
      <c r="V867" s="105"/>
    </row>
    <row r="868" spans="1:22" x14ac:dyDescent="0.25">
      <c r="A868" s="106"/>
      <c r="F868" s="105"/>
      <c r="H868" s="105"/>
      <c r="J868" s="105"/>
      <c r="K868" s="2"/>
      <c r="L868" s="105"/>
      <c r="M868" s="2"/>
      <c r="N868" s="105"/>
      <c r="O868" s="2"/>
      <c r="P868" s="2"/>
      <c r="Q868" s="2"/>
      <c r="R868" s="2"/>
      <c r="S868" s="2"/>
      <c r="T868" s="2"/>
      <c r="U868" s="2"/>
      <c r="V868" s="105"/>
    </row>
    <row r="869" spans="1:22" x14ac:dyDescent="0.25">
      <c r="A869" s="106"/>
      <c r="F869" s="105"/>
      <c r="H869" s="105"/>
      <c r="J869" s="105"/>
      <c r="K869" s="2"/>
      <c r="L869" s="105"/>
      <c r="M869" s="2"/>
      <c r="N869" s="105"/>
      <c r="O869" s="2"/>
      <c r="P869" s="2"/>
      <c r="Q869" s="2"/>
      <c r="R869" s="2"/>
      <c r="S869" s="2"/>
      <c r="T869" s="2"/>
      <c r="U869" s="2"/>
      <c r="V869" s="105"/>
    </row>
    <row r="870" spans="1:22" x14ac:dyDescent="0.25">
      <c r="A870" s="106"/>
      <c r="F870" s="105"/>
      <c r="H870" s="105"/>
      <c r="J870" s="105"/>
      <c r="K870" s="2"/>
      <c r="L870" s="105"/>
      <c r="M870" s="2"/>
      <c r="N870" s="105"/>
      <c r="O870" s="2"/>
      <c r="P870" s="2"/>
      <c r="Q870" s="2"/>
      <c r="R870" s="2"/>
      <c r="S870" s="2"/>
      <c r="T870" s="2"/>
      <c r="U870" s="2"/>
      <c r="V870" s="105"/>
    </row>
    <row r="871" spans="1:22" x14ac:dyDescent="0.25">
      <c r="A871" s="106"/>
      <c r="F871" s="105"/>
      <c r="H871" s="105"/>
      <c r="J871" s="105"/>
      <c r="K871" s="2"/>
      <c r="L871" s="105"/>
      <c r="M871" s="2"/>
      <c r="N871" s="105"/>
      <c r="O871" s="2"/>
      <c r="P871" s="2"/>
      <c r="Q871" s="2"/>
      <c r="R871" s="2"/>
      <c r="S871" s="2"/>
      <c r="T871" s="2"/>
      <c r="U871" s="2"/>
      <c r="V871" s="105"/>
    </row>
    <row r="872" spans="1:22" x14ac:dyDescent="0.25">
      <c r="A872" s="106"/>
      <c r="F872" s="105"/>
      <c r="H872" s="105"/>
      <c r="J872" s="105"/>
      <c r="K872" s="2"/>
      <c r="L872" s="105"/>
      <c r="M872" s="2"/>
      <c r="N872" s="105"/>
      <c r="O872" s="2"/>
      <c r="P872" s="2"/>
      <c r="Q872" s="2"/>
      <c r="R872" s="2"/>
      <c r="S872" s="2"/>
      <c r="T872" s="2"/>
      <c r="U872" s="2"/>
      <c r="V872" s="105"/>
    </row>
    <row r="873" spans="1:22" x14ac:dyDescent="0.25">
      <c r="A873" s="106"/>
      <c r="F873" s="105"/>
      <c r="H873" s="105"/>
      <c r="J873" s="105"/>
      <c r="K873" s="2"/>
      <c r="L873" s="105"/>
      <c r="M873" s="2"/>
      <c r="N873" s="105"/>
      <c r="O873" s="2"/>
      <c r="P873" s="2"/>
      <c r="Q873" s="2"/>
      <c r="R873" s="2"/>
      <c r="S873" s="2"/>
      <c r="T873" s="2"/>
      <c r="U873" s="2"/>
      <c r="V873" s="105"/>
    </row>
    <row r="874" spans="1:22" x14ac:dyDescent="0.25">
      <c r="A874" s="106"/>
      <c r="F874" s="105"/>
      <c r="H874" s="105"/>
      <c r="J874" s="105"/>
      <c r="K874" s="2"/>
      <c r="L874" s="105"/>
      <c r="M874" s="2"/>
      <c r="N874" s="105"/>
      <c r="O874" s="2"/>
      <c r="P874" s="2"/>
      <c r="Q874" s="2"/>
      <c r="R874" s="2"/>
      <c r="S874" s="2"/>
      <c r="T874" s="2"/>
      <c r="U874" s="2"/>
      <c r="V874" s="105"/>
    </row>
    <row r="875" spans="1:22" x14ac:dyDescent="0.25">
      <c r="A875" s="106"/>
      <c r="F875" s="105"/>
      <c r="H875" s="105"/>
      <c r="J875" s="105"/>
      <c r="K875" s="2"/>
      <c r="L875" s="105"/>
      <c r="M875" s="2"/>
      <c r="N875" s="105"/>
      <c r="O875" s="2"/>
      <c r="P875" s="2"/>
      <c r="Q875" s="2"/>
      <c r="R875" s="2"/>
      <c r="S875" s="2"/>
      <c r="T875" s="2"/>
      <c r="U875" s="2"/>
      <c r="V875" s="105"/>
    </row>
    <row r="876" spans="1:22" x14ac:dyDescent="0.25">
      <c r="A876" s="106"/>
      <c r="F876" s="105"/>
      <c r="H876" s="105"/>
      <c r="J876" s="105"/>
      <c r="K876" s="2"/>
      <c r="L876" s="105"/>
      <c r="M876" s="2"/>
      <c r="N876" s="105"/>
      <c r="O876" s="2"/>
      <c r="P876" s="2"/>
      <c r="Q876" s="2"/>
      <c r="R876" s="2"/>
      <c r="S876" s="2"/>
      <c r="T876" s="2"/>
      <c r="U876" s="2"/>
      <c r="V876" s="105"/>
    </row>
    <row r="877" spans="1:22" x14ac:dyDescent="0.25">
      <c r="A877" s="106"/>
      <c r="F877" s="105"/>
      <c r="H877" s="105"/>
      <c r="J877" s="105"/>
      <c r="K877" s="2"/>
      <c r="L877" s="105"/>
      <c r="M877" s="2"/>
      <c r="N877" s="105"/>
      <c r="O877" s="2"/>
      <c r="P877" s="2"/>
      <c r="Q877" s="2"/>
      <c r="R877" s="2"/>
      <c r="S877" s="2"/>
      <c r="T877" s="2"/>
      <c r="U877" s="2"/>
      <c r="V877" s="105"/>
    </row>
    <row r="878" spans="1:22" x14ac:dyDescent="0.25">
      <c r="A878" s="106"/>
      <c r="F878" s="105"/>
      <c r="H878" s="105"/>
      <c r="J878" s="105"/>
      <c r="K878" s="2"/>
      <c r="L878" s="105"/>
      <c r="M878" s="2"/>
      <c r="N878" s="105"/>
      <c r="O878" s="2"/>
      <c r="P878" s="2"/>
      <c r="Q878" s="2"/>
      <c r="R878" s="2"/>
      <c r="S878" s="2"/>
      <c r="T878" s="2"/>
      <c r="U878" s="2"/>
      <c r="V878" s="105"/>
    </row>
    <row r="879" spans="1:22" x14ac:dyDescent="0.25">
      <c r="A879" s="106"/>
      <c r="F879" s="105"/>
      <c r="H879" s="105"/>
      <c r="J879" s="105"/>
      <c r="K879" s="2"/>
      <c r="L879" s="105"/>
      <c r="M879" s="2"/>
      <c r="N879" s="105"/>
      <c r="O879" s="2"/>
      <c r="P879" s="2"/>
      <c r="Q879" s="2"/>
      <c r="R879" s="2"/>
      <c r="S879" s="2"/>
      <c r="T879" s="2"/>
      <c r="U879" s="2"/>
      <c r="V879" s="105"/>
    </row>
    <row r="880" spans="1:22" x14ac:dyDescent="0.25">
      <c r="A880" s="106"/>
      <c r="F880" s="105"/>
      <c r="H880" s="105"/>
      <c r="J880" s="105"/>
      <c r="K880" s="2"/>
      <c r="L880" s="105"/>
      <c r="M880" s="2"/>
      <c r="N880" s="105"/>
      <c r="O880" s="2"/>
      <c r="P880" s="2"/>
      <c r="Q880" s="2"/>
      <c r="R880" s="2"/>
      <c r="S880" s="2"/>
      <c r="T880" s="2"/>
      <c r="U880" s="2"/>
      <c r="V880" s="105"/>
    </row>
    <row r="881" spans="1:22" x14ac:dyDescent="0.25">
      <c r="A881" s="106"/>
      <c r="F881" s="105"/>
      <c r="H881" s="105"/>
      <c r="J881" s="105"/>
      <c r="K881" s="2"/>
      <c r="L881" s="105"/>
      <c r="M881" s="2"/>
      <c r="N881" s="105"/>
      <c r="O881" s="2"/>
      <c r="P881" s="2"/>
      <c r="Q881" s="2"/>
      <c r="R881" s="2"/>
      <c r="S881" s="2"/>
      <c r="T881" s="2"/>
      <c r="U881" s="2"/>
      <c r="V881" s="105"/>
    </row>
    <row r="882" spans="1:22" x14ac:dyDescent="0.25">
      <c r="A882" s="106"/>
      <c r="F882" s="105"/>
      <c r="H882" s="105"/>
      <c r="J882" s="105"/>
      <c r="K882" s="2"/>
      <c r="L882" s="105"/>
      <c r="M882" s="2"/>
      <c r="N882" s="105"/>
      <c r="O882" s="2"/>
      <c r="P882" s="2"/>
      <c r="Q882" s="2"/>
      <c r="R882" s="2"/>
      <c r="S882" s="2"/>
      <c r="T882" s="2"/>
      <c r="U882" s="2"/>
      <c r="V882" s="105"/>
    </row>
    <row r="883" spans="1:22" x14ac:dyDescent="0.25">
      <c r="A883" s="106"/>
      <c r="F883" s="105"/>
      <c r="H883" s="105"/>
      <c r="J883" s="105"/>
      <c r="K883" s="2"/>
      <c r="L883" s="105"/>
      <c r="M883" s="2"/>
      <c r="N883" s="105"/>
      <c r="O883" s="2"/>
      <c r="P883" s="2"/>
      <c r="Q883" s="2"/>
      <c r="R883" s="2"/>
      <c r="S883" s="2"/>
      <c r="T883" s="2"/>
      <c r="U883" s="2"/>
      <c r="V883" s="105"/>
    </row>
    <row r="884" spans="1:22" x14ac:dyDescent="0.25">
      <c r="A884" s="106"/>
      <c r="F884" s="105"/>
      <c r="H884" s="105"/>
      <c r="J884" s="105"/>
      <c r="K884" s="2"/>
      <c r="L884" s="105"/>
      <c r="M884" s="2"/>
      <c r="N884" s="105"/>
      <c r="O884" s="2"/>
      <c r="P884" s="2"/>
      <c r="Q884" s="2"/>
      <c r="R884" s="2"/>
      <c r="S884" s="2"/>
      <c r="T884" s="2"/>
      <c r="U884" s="2"/>
      <c r="V884" s="105"/>
    </row>
    <row r="885" spans="1:22" x14ac:dyDescent="0.25">
      <c r="A885" s="106"/>
      <c r="F885" s="105"/>
      <c r="H885" s="105"/>
      <c r="J885" s="105"/>
      <c r="K885" s="2"/>
      <c r="L885" s="105"/>
      <c r="M885" s="2"/>
      <c r="N885" s="105"/>
      <c r="O885" s="2"/>
      <c r="P885" s="2"/>
      <c r="Q885" s="2"/>
      <c r="R885" s="2"/>
      <c r="S885" s="2"/>
      <c r="T885" s="2"/>
      <c r="U885" s="2"/>
      <c r="V885" s="105"/>
    </row>
    <row r="886" spans="1:22" x14ac:dyDescent="0.25">
      <c r="A886" s="106"/>
      <c r="F886" s="105"/>
      <c r="H886" s="105"/>
      <c r="J886" s="105"/>
      <c r="K886" s="2"/>
      <c r="L886" s="105"/>
      <c r="M886" s="2"/>
      <c r="N886" s="105"/>
      <c r="O886" s="2"/>
      <c r="P886" s="2"/>
      <c r="Q886" s="2"/>
      <c r="R886" s="2"/>
      <c r="S886" s="2"/>
      <c r="T886" s="2"/>
      <c r="U886" s="2"/>
      <c r="V886" s="105"/>
    </row>
    <row r="887" spans="1:22" x14ac:dyDescent="0.25">
      <c r="A887" s="106"/>
      <c r="F887" s="105"/>
      <c r="H887" s="105"/>
      <c r="J887" s="105"/>
      <c r="K887" s="2"/>
      <c r="L887" s="105"/>
      <c r="M887" s="2"/>
      <c r="N887" s="105"/>
      <c r="O887" s="2"/>
      <c r="P887" s="2"/>
      <c r="Q887" s="2"/>
      <c r="R887" s="2"/>
      <c r="S887" s="2"/>
      <c r="T887" s="2"/>
      <c r="U887" s="2"/>
      <c r="V887" s="105"/>
    </row>
    <row r="888" spans="1:22" x14ac:dyDescent="0.25">
      <c r="A888" s="106"/>
      <c r="F888" s="105"/>
      <c r="H888" s="105"/>
      <c r="J888" s="105"/>
      <c r="K888" s="2"/>
      <c r="L888" s="105"/>
      <c r="M888" s="2"/>
      <c r="N888" s="105"/>
      <c r="O888" s="2"/>
      <c r="P888" s="2"/>
      <c r="Q888" s="2"/>
      <c r="R888" s="2"/>
      <c r="S888" s="2"/>
      <c r="T888" s="2"/>
      <c r="U888" s="2"/>
      <c r="V888" s="105"/>
    </row>
    <row r="889" spans="1:22" x14ac:dyDescent="0.25">
      <c r="A889" s="106"/>
      <c r="F889" s="105"/>
      <c r="H889" s="105"/>
      <c r="J889" s="105"/>
      <c r="K889" s="2"/>
      <c r="L889" s="105"/>
      <c r="M889" s="2"/>
      <c r="N889" s="105"/>
      <c r="O889" s="2"/>
      <c r="P889" s="2"/>
      <c r="Q889" s="2"/>
      <c r="R889" s="2"/>
      <c r="S889" s="2"/>
      <c r="T889" s="2"/>
      <c r="U889" s="2"/>
      <c r="V889" s="105"/>
    </row>
    <row r="890" spans="1:22" x14ac:dyDescent="0.25">
      <c r="A890" s="106"/>
      <c r="F890" s="105"/>
      <c r="H890" s="105"/>
      <c r="J890" s="105"/>
      <c r="K890" s="2"/>
      <c r="L890" s="105"/>
      <c r="M890" s="2"/>
      <c r="N890" s="105"/>
      <c r="O890" s="2"/>
      <c r="P890" s="2"/>
      <c r="Q890" s="2"/>
      <c r="R890" s="2"/>
      <c r="S890" s="2"/>
      <c r="T890" s="2"/>
      <c r="U890" s="2"/>
      <c r="V890" s="105"/>
    </row>
    <row r="891" spans="1:22" x14ac:dyDescent="0.25">
      <c r="A891" s="106"/>
      <c r="F891" s="105"/>
      <c r="H891" s="105"/>
      <c r="J891" s="105"/>
      <c r="K891" s="2"/>
      <c r="L891" s="105"/>
      <c r="M891" s="2"/>
      <c r="N891" s="105"/>
      <c r="O891" s="2"/>
      <c r="P891" s="2"/>
      <c r="Q891" s="2"/>
      <c r="R891" s="2"/>
      <c r="S891" s="2"/>
      <c r="T891" s="2"/>
      <c r="U891" s="2"/>
      <c r="V891" s="105"/>
    </row>
    <row r="892" spans="1:22" x14ac:dyDescent="0.25">
      <c r="A892" s="106"/>
      <c r="F892" s="105"/>
      <c r="H892" s="105"/>
      <c r="J892" s="105"/>
      <c r="K892" s="2"/>
      <c r="L892" s="105"/>
      <c r="M892" s="2"/>
      <c r="N892" s="105"/>
      <c r="O892" s="2"/>
      <c r="P892" s="2"/>
      <c r="Q892" s="2"/>
      <c r="R892" s="2"/>
      <c r="S892" s="2"/>
      <c r="T892" s="2"/>
      <c r="U892" s="2"/>
      <c r="V892" s="105"/>
    </row>
    <row r="893" spans="1:22" x14ac:dyDescent="0.25">
      <c r="A893" s="106"/>
      <c r="F893" s="105"/>
      <c r="H893" s="105"/>
      <c r="J893" s="105"/>
      <c r="K893" s="2"/>
      <c r="L893" s="105"/>
      <c r="M893" s="2"/>
      <c r="N893" s="105"/>
      <c r="O893" s="2"/>
      <c r="P893" s="2"/>
      <c r="Q893" s="2"/>
      <c r="R893" s="2"/>
      <c r="S893" s="2"/>
      <c r="T893" s="2"/>
      <c r="U893" s="2"/>
      <c r="V893" s="105"/>
    </row>
    <row r="894" spans="1:22" x14ac:dyDescent="0.25">
      <c r="A894" s="106"/>
      <c r="F894" s="105"/>
      <c r="H894" s="105"/>
      <c r="J894" s="105"/>
      <c r="K894" s="2"/>
      <c r="L894" s="105"/>
      <c r="M894" s="2"/>
      <c r="N894" s="105"/>
      <c r="O894" s="2"/>
      <c r="P894" s="2"/>
      <c r="Q894" s="2"/>
      <c r="R894" s="2"/>
      <c r="S894" s="2"/>
      <c r="T894" s="2"/>
      <c r="U894" s="2"/>
      <c r="V894" s="105"/>
    </row>
    <row r="895" spans="1:22" x14ac:dyDescent="0.25">
      <c r="A895" s="106"/>
      <c r="F895" s="105"/>
      <c r="H895" s="105"/>
      <c r="J895" s="105"/>
      <c r="K895" s="2"/>
      <c r="L895" s="105"/>
      <c r="M895" s="2"/>
      <c r="N895" s="105"/>
      <c r="O895" s="2"/>
      <c r="P895" s="2"/>
      <c r="Q895" s="2"/>
      <c r="R895" s="2"/>
      <c r="S895" s="2"/>
      <c r="T895" s="2"/>
      <c r="U895" s="2"/>
      <c r="V895" s="105"/>
    </row>
    <row r="896" spans="1:22" x14ac:dyDescent="0.25">
      <c r="A896" s="106"/>
      <c r="F896" s="105"/>
      <c r="H896" s="105"/>
      <c r="J896" s="105"/>
      <c r="K896" s="2"/>
      <c r="L896" s="105"/>
      <c r="M896" s="2"/>
      <c r="N896" s="105"/>
      <c r="O896" s="2"/>
      <c r="P896" s="2"/>
      <c r="Q896" s="2"/>
      <c r="R896" s="2"/>
      <c r="S896" s="2"/>
      <c r="T896" s="2"/>
      <c r="U896" s="2"/>
      <c r="V896" s="105"/>
    </row>
    <row r="897" spans="1:22" x14ac:dyDescent="0.25">
      <c r="A897" s="106"/>
      <c r="F897" s="105"/>
      <c r="H897" s="105"/>
      <c r="J897" s="105"/>
      <c r="K897" s="2"/>
      <c r="L897" s="105"/>
      <c r="M897" s="2"/>
      <c r="N897" s="105"/>
      <c r="O897" s="2"/>
      <c r="P897" s="2"/>
      <c r="Q897" s="2"/>
      <c r="R897" s="2"/>
      <c r="S897" s="2"/>
      <c r="T897" s="2"/>
      <c r="U897" s="2"/>
      <c r="V897" s="105"/>
    </row>
    <row r="898" spans="1:22" x14ac:dyDescent="0.25">
      <c r="A898" s="106"/>
      <c r="F898" s="105"/>
      <c r="H898" s="105"/>
      <c r="J898" s="105"/>
      <c r="K898" s="2"/>
      <c r="L898" s="105"/>
      <c r="M898" s="2"/>
      <c r="N898" s="105"/>
      <c r="O898" s="2"/>
      <c r="P898" s="2"/>
      <c r="Q898" s="2"/>
      <c r="R898" s="2"/>
      <c r="S898" s="2"/>
      <c r="T898" s="2"/>
      <c r="U898" s="2"/>
      <c r="V898" s="105"/>
    </row>
    <row r="899" spans="1:22" x14ac:dyDescent="0.25">
      <c r="A899" s="106"/>
      <c r="F899" s="105"/>
      <c r="H899" s="105"/>
      <c r="J899" s="105"/>
      <c r="K899" s="2"/>
      <c r="L899" s="105"/>
      <c r="M899" s="2"/>
      <c r="N899" s="105"/>
      <c r="O899" s="2"/>
      <c r="P899" s="2"/>
      <c r="Q899" s="2"/>
      <c r="R899" s="2"/>
      <c r="S899" s="2"/>
      <c r="T899" s="2"/>
      <c r="U899" s="2"/>
      <c r="V899" s="105"/>
    </row>
    <row r="900" spans="1:22" x14ac:dyDescent="0.25">
      <c r="A900" s="106"/>
      <c r="F900" s="105"/>
      <c r="H900" s="105"/>
      <c r="J900" s="105"/>
      <c r="K900" s="2"/>
      <c r="L900" s="105"/>
      <c r="M900" s="2"/>
      <c r="N900" s="105"/>
      <c r="O900" s="2"/>
      <c r="P900" s="2"/>
      <c r="Q900" s="2"/>
      <c r="R900" s="2"/>
      <c r="S900" s="2"/>
      <c r="T900" s="2"/>
      <c r="U900" s="2"/>
      <c r="V900" s="105"/>
    </row>
    <row r="901" spans="1:22" x14ac:dyDescent="0.25">
      <c r="A901" s="106"/>
      <c r="F901" s="105"/>
      <c r="H901" s="105"/>
      <c r="J901" s="105"/>
      <c r="K901" s="2"/>
      <c r="L901" s="105"/>
      <c r="M901" s="2"/>
      <c r="N901" s="105"/>
      <c r="O901" s="2"/>
      <c r="P901" s="2"/>
      <c r="Q901" s="2"/>
      <c r="R901" s="2"/>
      <c r="S901" s="2"/>
      <c r="T901" s="2"/>
      <c r="U901" s="2"/>
      <c r="V901" s="105"/>
    </row>
    <row r="902" spans="1:22" x14ac:dyDescent="0.25">
      <c r="A902" s="106"/>
      <c r="F902" s="105"/>
      <c r="H902" s="105"/>
      <c r="J902" s="105"/>
      <c r="K902" s="2"/>
      <c r="L902" s="105"/>
      <c r="M902" s="2"/>
      <c r="N902" s="105"/>
      <c r="O902" s="2"/>
      <c r="P902" s="2"/>
      <c r="Q902" s="2"/>
      <c r="R902" s="2"/>
      <c r="S902" s="2"/>
      <c r="T902" s="2"/>
      <c r="U902" s="2"/>
      <c r="V902" s="105"/>
    </row>
    <row r="903" spans="1:22" x14ac:dyDescent="0.25">
      <c r="A903" s="106"/>
      <c r="F903" s="105"/>
      <c r="H903" s="105"/>
      <c r="J903" s="105"/>
      <c r="K903" s="2"/>
      <c r="L903" s="105"/>
      <c r="M903" s="2"/>
      <c r="N903" s="105"/>
      <c r="O903" s="2"/>
      <c r="P903" s="2"/>
      <c r="Q903" s="2"/>
      <c r="R903" s="2"/>
      <c r="S903" s="2"/>
      <c r="T903" s="2"/>
      <c r="U903" s="2"/>
      <c r="V903" s="105"/>
    </row>
    <row r="904" spans="1:22" x14ac:dyDescent="0.25">
      <c r="A904" s="106"/>
      <c r="F904" s="105"/>
      <c r="H904" s="105"/>
      <c r="J904" s="105"/>
      <c r="K904" s="2"/>
      <c r="L904" s="105"/>
      <c r="M904" s="2"/>
      <c r="N904" s="105"/>
      <c r="O904" s="2"/>
      <c r="P904" s="2"/>
      <c r="Q904" s="2"/>
      <c r="R904" s="2"/>
      <c r="S904" s="2"/>
      <c r="T904" s="2"/>
      <c r="U904" s="2"/>
      <c r="V904" s="105"/>
    </row>
    <row r="905" spans="1:22" x14ac:dyDescent="0.25">
      <c r="A905" s="106"/>
      <c r="F905" s="105"/>
      <c r="H905" s="105"/>
      <c r="J905" s="105"/>
      <c r="K905" s="2"/>
      <c r="L905" s="105"/>
      <c r="M905" s="2"/>
      <c r="N905" s="105"/>
      <c r="O905" s="2"/>
      <c r="P905" s="2"/>
      <c r="Q905" s="2"/>
      <c r="R905" s="2"/>
      <c r="S905" s="2"/>
      <c r="T905" s="2"/>
      <c r="U905" s="2"/>
      <c r="V905" s="105"/>
    </row>
    <row r="906" spans="1:22" x14ac:dyDescent="0.25">
      <c r="A906" s="106"/>
      <c r="F906" s="105"/>
      <c r="H906" s="105"/>
      <c r="J906" s="105"/>
      <c r="K906" s="2"/>
      <c r="L906" s="105"/>
      <c r="M906" s="2"/>
      <c r="N906" s="105"/>
      <c r="O906" s="2"/>
      <c r="P906" s="2"/>
      <c r="Q906" s="2"/>
      <c r="R906" s="2"/>
      <c r="S906" s="2"/>
      <c r="T906" s="2"/>
      <c r="U906" s="2"/>
      <c r="V906" s="105"/>
    </row>
    <row r="907" spans="1:22" x14ac:dyDescent="0.25">
      <c r="A907" s="106"/>
      <c r="F907" s="105"/>
      <c r="H907" s="105"/>
      <c r="J907" s="105"/>
      <c r="K907" s="2"/>
      <c r="L907" s="105"/>
      <c r="M907" s="2"/>
      <c r="N907" s="105"/>
      <c r="O907" s="2"/>
      <c r="P907" s="2"/>
      <c r="Q907" s="2"/>
      <c r="R907" s="2"/>
      <c r="S907" s="2"/>
      <c r="T907" s="2"/>
      <c r="U907" s="2"/>
      <c r="V907" s="105"/>
    </row>
    <row r="908" spans="1:22" x14ac:dyDescent="0.25">
      <c r="A908" s="106"/>
      <c r="F908" s="105"/>
      <c r="H908" s="105"/>
      <c r="J908" s="105"/>
      <c r="K908" s="2"/>
      <c r="L908" s="105"/>
      <c r="M908" s="2"/>
      <c r="N908" s="105"/>
      <c r="O908" s="2"/>
      <c r="P908" s="2"/>
      <c r="Q908" s="2"/>
      <c r="R908" s="2"/>
      <c r="S908" s="2"/>
      <c r="T908" s="2"/>
      <c r="U908" s="2"/>
      <c r="V908" s="105"/>
    </row>
    <row r="909" spans="1:22" x14ac:dyDescent="0.25">
      <c r="A909" s="106"/>
      <c r="F909" s="105"/>
      <c r="H909" s="105"/>
      <c r="J909" s="105"/>
      <c r="K909" s="2"/>
      <c r="L909" s="105"/>
      <c r="M909" s="2"/>
      <c r="N909" s="105"/>
      <c r="O909" s="2"/>
      <c r="P909" s="2"/>
      <c r="Q909" s="2"/>
      <c r="R909" s="2"/>
      <c r="S909" s="2"/>
      <c r="T909" s="2"/>
      <c r="U909" s="2"/>
      <c r="V909" s="105"/>
    </row>
    <row r="910" spans="1:22" x14ac:dyDescent="0.25">
      <c r="A910" s="106"/>
      <c r="F910" s="105"/>
      <c r="H910" s="105"/>
      <c r="J910" s="105"/>
      <c r="K910" s="2"/>
      <c r="L910" s="105"/>
      <c r="M910" s="2"/>
      <c r="N910" s="105"/>
      <c r="O910" s="2"/>
      <c r="P910" s="2"/>
      <c r="Q910" s="2"/>
      <c r="R910" s="2"/>
      <c r="S910" s="2"/>
      <c r="T910" s="2"/>
      <c r="U910" s="2"/>
      <c r="V910" s="105"/>
    </row>
    <row r="911" spans="1:22" x14ac:dyDescent="0.25">
      <c r="A911" s="106"/>
      <c r="F911" s="105"/>
      <c r="H911" s="105"/>
      <c r="J911" s="105"/>
      <c r="K911" s="2"/>
      <c r="L911" s="105"/>
      <c r="M911" s="2"/>
      <c r="N911" s="105"/>
      <c r="O911" s="2"/>
      <c r="P911" s="2"/>
      <c r="Q911" s="2"/>
      <c r="R911" s="2"/>
      <c r="S911" s="2"/>
      <c r="T911" s="2"/>
      <c r="U911" s="2"/>
      <c r="V911" s="105"/>
    </row>
    <row r="912" spans="1:22" x14ac:dyDescent="0.25">
      <c r="A912" s="106"/>
      <c r="F912" s="105"/>
      <c r="H912" s="105"/>
      <c r="J912" s="105"/>
      <c r="K912" s="2"/>
      <c r="L912" s="105"/>
      <c r="M912" s="2"/>
      <c r="N912" s="105"/>
      <c r="O912" s="2"/>
      <c r="P912" s="2"/>
      <c r="Q912" s="2"/>
      <c r="R912" s="2"/>
      <c r="S912" s="2"/>
      <c r="T912" s="2"/>
      <c r="U912" s="2"/>
      <c r="V912" s="105"/>
    </row>
    <row r="913" spans="1:22" x14ac:dyDescent="0.25">
      <c r="A913" s="106"/>
      <c r="F913" s="105"/>
      <c r="H913" s="105"/>
      <c r="J913" s="105"/>
      <c r="K913" s="2"/>
      <c r="L913" s="105"/>
      <c r="M913" s="2"/>
      <c r="N913" s="105"/>
      <c r="O913" s="2"/>
      <c r="P913" s="2"/>
      <c r="Q913" s="2"/>
      <c r="R913" s="2"/>
      <c r="S913" s="2"/>
      <c r="T913" s="2"/>
      <c r="U913" s="2"/>
      <c r="V913" s="105"/>
    </row>
    <row r="914" spans="1:22" x14ac:dyDescent="0.25">
      <c r="A914" s="106"/>
      <c r="F914" s="105"/>
      <c r="H914" s="105"/>
      <c r="J914" s="105"/>
      <c r="K914" s="2"/>
      <c r="L914" s="105"/>
      <c r="M914" s="2"/>
      <c r="N914" s="105"/>
      <c r="O914" s="2"/>
      <c r="P914" s="2"/>
      <c r="Q914" s="2"/>
      <c r="R914" s="2"/>
      <c r="S914" s="2"/>
      <c r="T914" s="2"/>
      <c r="U914" s="2"/>
      <c r="V914" s="105"/>
    </row>
    <row r="915" spans="1:22" x14ac:dyDescent="0.25">
      <c r="A915" s="106"/>
      <c r="F915" s="105"/>
      <c r="H915" s="105"/>
      <c r="J915" s="105"/>
      <c r="K915" s="2"/>
      <c r="L915" s="105"/>
      <c r="M915" s="2"/>
      <c r="N915" s="105"/>
      <c r="O915" s="2"/>
      <c r="P915" s="2"/>
      <c r="Q915" s="2"/>
      <c r="R915" s="2"/>
      <c r="S915" s="2"/>
      <c r="T915" s="2"/>
      <c r="U915" s="2"/>
      <c r="V915" s="105"/>
    </row>
    <row r="916" spans="1:22" x14ac:dyDescent="0.25">
      <c r="A916" s="106"/>
      <c r="F916" s="105"/>
      <c r="H916" s="105"/>
      <c r="J916" s="105"/>
      <c r="K916" s="2"/>
      <c r="L916" s="105"/>
      <c r="M916" s="2"/>
      <c r="N916" s="105"/>
      <c r="O916" s="2"/>
      <c r="P916" s="2"/>
      <c r="Q916" s="2"/>
      <c r="R916" s="2"/>
      <c r="S916" s="2"/>
      <c r="T916" s="2"/>
      <c r="U916" s="2"/>
      <c r="V916" s="105"/>
    </row>
    <row r="917" spans="1:22" x14ac:dyDescent="0.25">
      <c r="A917" s="106"/>
      <c r="F917" s="105"/>
      <c r="H917" s="105"/>
      <c r="J917" s="105"/>
      <c r="K917" s="2"/>
      <c r="L917" s="105"/>
      <c r="M917" s="2"/>
      <c r="N917" s="105"/>
      <c r="O917" s="2"/>
      <c r="P917" s="2"/>
      <c r="Q917" s="2"/>
      <c r="R917" s="2"/>
      <c r="S917" s="2"/>
      <c r="T917" s="2"/>
      <c r="U917" s="2"/>
      <c r="V917" s="105"/>
    </row>
    <row r="918" spans="1:22" x14ac:dyDescent="0.25">
      <c r="A918" s="106"/>
      <c r="F918" s="105"/>
      <c r="H918" s="105"/>
      <c r="J918" s="105"/>
      <c r="K918" s="2"/>
      <c r="L918" s="105"/>
      <c r="M918" s="2"/>
      <c r="N918" s="105"/>
      <c r="O918" s="2"/>
      <c r="P918" s="2"/>
      <c r="Q918" s="2"/>
      <c r="R918" s="2"/>
      <c r="S918" s="2"/>
      <c r="T918" s="2"/>
      <c r="U918" s="2"/>
      <c r="V918" s="105"/>
    </row>
    <row r="919" spans="1:22" x14ac:dyDescent="0.25">
      <c r="A919" s="106"/>
      <c r="F919" s="105"/>
      <c r="H919" s="105"/>
      <c r="J919" s="105"/>
      <c r="K919" s="2"/>
      <c r="L919" s="105"/>
      <c r="M919" s="2"/>
      <c r="N919" s="105"/>
      <c r="O919" s="2"/>
      <c r="P919" s="2"/>
      <c r="Q919" s="2"/>
      <c r="R919" s="2"/>
      <c r="S919" s="2"/>
      <c r="T919" s="2"/>
      <c r="U919" s="2"/>
      <c r="V919" s="105"/>
    </row>
    <row r="920" spans="1:22" x14ac:dyDescent="0.25">
      <c r="A920" s="106"/>
      <c r="F920" s="105"/>
      <c r="H920" s="105"/>
      <c r="J920" s="105"/>
      <c r="K920" s="2"/>
      <c r="L920" s="105"/>
      <c r="M920" s="2"/>
      <c r="N920" s="105"/>
      <c r="O920" s="2"/>
      <c r="P920" s="2"/>
      <c r="Q920" s="2"/>
      <c r="R920" s="2"/>
      <c r="S920" s="2"/>
      <c r="T920" s="2"/>
      <c r="U920" s="2"/>
      <c r="V920" s="105"/>
    </row>
    <row r="921" spans="1:22" x14ac:dyDescent="0.25">
      <c r="A921" s="106"/>
      <c r="F921" s="105"/>
      <c r="H921" s="105"/>
      <c r="J921" s="105"/>
      <c r="K921" s="2"/>
      <c r="L921" s="105"/>
      <c r="M921" s="2"/>
      <c r="N921" s="105"/>
      <c r="O921" s="2"/>
      <c r="P921" s="2"/>
      <c r="Q921" s="2"/>
      <c r="R921" s="2"/>
      <c r="S921" s="2"/>
      <c r="T921" s="2"/>
      <c r="U921" s="2"/>
      <c r="V921" s="105"/>
    </row>
    <row r="922" spans="1:22" x14ac:dyDescent="0.25">
      <c r="A922" s="106"/>
      <c r="F922" s="105"/>
      <c r="H922" s="105"/>
      <c r="J922" s="105"/>
      <c r="K922" s="2"/>
      <c r="L922" s="105"/>
      <c r="M922" s="2"/>
      <c r="N922" s="105"/>
      <c r="O922" s="2"/>
      <c r="P922" s="2"/>
      <c r="Q922" s="2"/>
      <c r="R922" s="2"/>
      <c r="S922" s="2"/>
      <c r="T922" s="2"/>
      <c r="U922" s="2"/>
      <c r="V922" s="105"/>
    </row>
    <row r="923" spans="1:22" x14ac:dyDescent="0.25">
      <c r="A923" s="106"/>
      <c r="F923" s="105"/>
      <c r="H923" s="105"/>
      <c r="J923" s="105"/>
      <c r="K923" s="2"/>
      <c r="L923" s="105"/>
      <c r="M923" s="2"/>
      <c r="N923" s="105"/>
      <c r="O923" s="2"/>
      <c r="P923" s="2"/>
      <c r="Q923" s="2"/>
      <c r="R923" s="2"/>
      <c r="S923" s="2"/>
      <c r="T923" s="2"/>
      <c r="U923" s="2"/>
      <c r="V923" s="105"/>
    </row>
    <row r="924" spans="1:22" x14ac:dyDescent="0.25">
      <c r="A924" s="106"/>
      <c r="F924" s="105"/>
      <c r="H924" s="105"/>
      <c r="J924" s="105"/>
      <c r="K924" s="2"/>
      <c r="L924" s="105"/>
      <c r="M924" s="2"/>
      <c r="N924" s="105"/>
      <c r="O924" s="2"/>
      <c r="P924" s="2"/>
      <c r="Q924" s="2"/>
      <c r="R924" s="2"/>
      <c r="S924" s="2"/>
      <c r="T924" s="2"/>
      <c r="U924" s="2"/>
      <c r="V924" s="105"/>
    </row>
    <row r="925" spans="1:22" x14ac:dyDescent="0.25">
      <c r="A925" s="106"/>
      <c r="F925" s="105"/>
      <c r="H925" s="105"/>
      <c r="J925" s="105"/>
      <c r="K925" s="2"/>
      <c r="L925" s="105"/>
      <c r="M925" s="2"/>
      <c r="N925" s="105"/>
      <c r="O925" s="2"/>
      <c r="P925" s="2"/>
      <c r="Q925" s="2"/>
      <c r="R925" s="2"/>
      <c r="S925" s="2"/>
      <c r="T925" s="2"/>
      <c r="U925" s="2"/>
      <c r="V925" s="105"/>
    </row>
    <row r="926" spans="1:22" x14ac:dyDescent="0.25">
      <c r="A926" s="106"/>
      <c r="F926" s="105"/>
      <c r="H926" s="105"/>
      <c r="J926" s="105"/>
      <c r="K926" s="2"/>
      <c r="L926" s="105"/>
      <c r="M926" s="2"/>
      <c r="N926" s="105"/>
      <c r="O926" s="2"/>
      <c r="P926" s="2"/>
      <c r="Q926" s="2"/>
      <c r="R926" s="2"/>
      <c r="S926" s="2"/>
      <c r="T926" s="2"/>
      <c r="U926" s="2"/>
      <c r="V926" s="105"/>
    </row>
    <row r="927" spans="1:22" x14ac:dyDescent="0.25">
      <c r="A927" s="106"/>
      <c r="F927" s="105"/>
      <c r="H927" s="105"/>
      <c r="J927" s="105"/>
      <c r="K927" s="2"/>
      <c r="L927" s="105"/>
      <c r="M927" s="2"/>
      <c r="N927" s="105"/>
      <c r="O927" s="2"/>
      <c r="P927" s="2"/>
      <c r="Q927" s="2"/>
      <c r="R927" s="2"/>
      <c r="S927" s="2"/>
      <c r="T927" s="2"/>
      <c r="U927" s="2"/>
      <c r="V927" s="105"/>
    </row>
    <row r="928" spans="1:22" x14ac:dyDescent="0.25">
      <c r="A928" s="106"/>
      <c r="F928" s="105"/>
      <c r="H928" s="105"/>
      <c r="J928" s="105"/>
      <c r="K928" s="2"/>
      <c r="L928" s="105"/>
      <c r="M928" s="2"/>
      <c r="N928" s="105"/>
      <c r="O928" s="2"/>
      <c r="P928" s="2"/>
      <c r="Q928" s="2"/>
      <c r="R928" s="2"/>
      <c r="S928" s="2"/>
      <c r="T928" s="2"/>
      <c r="U928" s="2"/>
      <c r="V928" s="105"/>
    </row>
    <row r="929" spans="1:22" x14ac:dyDescent="0.25">
      <c r="A929" s="106"/>
      <c r="F929" s="105"/>
      <c r="H929" s="105"/>
      <c r="J929" s="105"/>
      <c r="K929" s="2"/>
      <c r="L929" s="105"/>
      <c r="M929" s="2"/>
      <c r="N929" s="105"/>
      <c r="O929" s="2"/>
      <c r="P929" s="2"/>
      <c r="Q929" s="2"/>
      <c r="R929" s="2"/>
      <c r="S929" s="2"/>
      <c r="T929" s="2"/>
      <c r="U929" s="2"/>
      <c r="V929" s="105"/>
    </row>
    <row r="930" spans="1:22" x14ac:dyDescent="0.25">
      <c r="A930" s="106"/>
      <c r="F930" s="105"/>
      <c r="H930" s="105"/>
      <c r="J930" s="105"/>
      <c r="K930" s="2"/>
      <c r="L930" s="105"/>
      <c r="M930" s="2"/>
      <c r="N930" s="105"/>
      <c r="O930" s="2"/>
      <c r="P930" s="2"/>
      <c r="Q930" s="2"/>
      <c r="R930" s="2"/>
      <c r="S930" s="2"/>
      <c r="T930" s="2"/>
      <c r="U930" s="2"/>
      <c r="V930" s="105"/>
    </row>
    <row r="931" spans="1:22" x14ac:dyDescent="0.25">
      <c r="A931" s="106"/>
      <c r="F931" s="105"/>
      <c r="H931" s="105"/>
      <c r="J931" s="105"/>
      <c r="K931" s="2"/>
      <c r="L931" s="105"/>
      <c r="M931" s="2"/>
      <c r="N931" s="105"/>
      <c r="O931" s="2"/>
      <c r="P931" s="2"/>
      <c r="Q931" s="2"/>
      <c r="R931" s="2"/>
      <c r="S931" s="2"/>
      <c r="T931" s="2"/>
      <c r="U931" s="2"/>
      <c r="V931" s="105"/>
    </row>
    <row r="932" spans="1:22" x14ac:dyDescent="0.25">
      <c r="A932" s="106"/>
      <c r="F932" s="105"/>
      <c r="H932" s="105"/>
      <c r="J932" s="105"/>
      <c r="K932" s="2"/>
      <c r="L932" s="105"/>
      <c r="M932" s="2"/>
      <c r="N932" s="105"/>
      <c r="O932" s="2"/>
      <c r="P932" s="2"/>
      <c r="Q932" s="2"/>
      <c r="R932" s="2"/>
      <c r="S932" s="2"/>
      <c r="T932" s="2"/>
      <c r="U932" s="2"/>
      <c r="V932" s="105"/>
    </row>
    <row r="933" spans="1:22" x14ac:dyDescent="0.25">
      <c r="A933" s="106"/>
      <c r="F933" s="105"/>
      <c r="H933" s="105"/>
      <c r="J933" s="105"/>
      <c r="K933" s="2"/>
      <c r="L933" s="105"/>
      <c r="M933" s="2"/>
      <c r="N933" s="105"/>
      <c r="O933" s="2"/>
      <c r="P933" s="2"/>
      <c r="Q933" s="2"/>
      <c r="R933" s="2"/>
      <c r="S933" s="2"/>
      <c r="T933" s="2"/>
      <c r="U933" s="2"/>
      <c r="V933" s="105"/>
    </row>
    <row r="934" spans="1:22" x14ac:dyDescent="0.25">
      <c r="A934" s="106"/>
      <c r="F934" s="105"/>
      <c r="H934" s="105"/>
      <c r="J934" s="105"/>
      <c r="K934" s="2"/>
      <c r="L934" s="105"/>
      <c r="M934" s="2"/>
      <c r="N934" s="105"/>
      <c r="O934" s="2"/>
      <c r="P934" s="2"/>
      <c r="Q934" s="2"/>
      <c r="R934" s="2"/>
      <c r="S934" s="2"/>
      <c r="T934" s="2"/>
      <c r="U934" s="2"/>
      <c r="V934" s="105"/>
    </row>
    <row r="935" spans="1:22" x14ac:dyDescent="0.25">
      <c r="A935" s="106"/>
      <c r="F935" s="105"/>
      <c r="H935" s="105"/>
      <c r="J935" s="105"/>
      <c r="K935" s="2"/>
      <c r="L935" s="105"/>
      <c r="M935" s="2"/>
      <c r="N935" s="105"/>
      <c r="O935" s="2"/>
      <c r="P935" s="2"/>
      <c r="Q935" s="2"/>
      <c r="R935" s="2"/>
      <c r="S935" s="2"/>
      <c r="T935" s="2"/>
      <c r="U935" s="2"/>
      <c r="V935" s="105"/>
    </row>
    <row r="936" spans="1:22" x14ac:dyDescent="0.25">
      <c r="A936" s="106"/>
      <c r="F936" s="105"/>
      <c r="H936" s="105"/>
      <c r="J936" s="105"/>
      <c r="K936" s="2"/>
      <c r="L936" s="105"/>
      <c r="M936" s="2"/>
      <c r="N936" s="105"/>
      <c r="O936" s="2"/>
      <c r="P936" s="2"/>
      <c r="Q936" s="2"/>
      <c r="R936" s="2"/>
      <c r="S936" s="2"/>
      <c r="T936" s="2"/>
      <c r="U936" s="2"/>
      <c r="V936" s="105"/>
    </row>
    <row r="937" spans="1:22" x14ac:dyDescent="0.25">
      <c r="A937" s="106"/>
      <c r="F937" s="105"/>
      <c r="H937" s="105"/>
      <c r="J937" s="105"/>
      <c r="K937" s="2"/>
      <c r="L937" s="105"/>
      <c r="M937" s="2"/>
      <c r="N937" s="105"/>
      <c r="O937" s="2"/>
      <c r="P937" s="2"/>
      <c r="Q937" s="2"/>
      <c r="R937" s="2"/>
      <c r="S937" s="2"/>
      <c r="T937" s="2"/>
      <c r="U937" s="2"/>
      <c r="V937" s="105"/>
    </row>
    <row r="938" spans="1:22" x14ac:dyDescent="0.25">
      <c r="A938" s="106"/>
      <c r="F938" s="105"/>
      <c r="H938" s="105"/>
      <c r="J938" s="105"/>
      <c r="K938" s="2"/>
      <c r="L938" s="105"/>
      <c r="M938" s="2"/>
      <c r="N938" s="105"/>
      <c r="O938" s="2"/>
      <c r="P938" s="2"/>
      <c r="Q938" s="2"/>
      <c r="R938" s="2"/>
      <c r="S938" s="2"/>
      <c r="T938" s="2"/>
      <c r="U938" s="2"/>
      <c r="V938" s="105"/>
    </row>
    <row r="939" spans="1:22" x14ac:dyDescent="0.25">
      <c r="A939" s="106"/>
      <c r="F939" s="105"/>
      <c r="H939" s="105"/>
      <c r="J939" s="105"/>
      <c r="K939" s="2"/>
      <c r="L939" s="105"/>
      <c r="M939" s="2"/>
      <c r="N939" s="105"/>
      <c r="O939" s="2"/>
      <c r="P939" s="2"/>
      <c r="Q939" s="2"/>
      <c r="R939" s="2"/>
      <c r="S939" s="2"/>
      <c r="T939" s="2"/>
      <c r="U939" s="2"/>
      <c r="V939" s="105"/>
    </row>
    <row r="940" spans="1:22" x14ac:dyDescent="0.25">
      <c r="A940" s="106"/>
      <c r="F940" s="105"/>
      <c r="H940" s="105"/>
      <c r="J940" s="105"/>
      <c r="K940" s="2"/>
      <c r="L940" s="105"/>
      <c r="M940" s="2"/>
      <c r="N940" s="105"/>
      <c r="O940" s="2"/>
      <c r="P940" s="2"/>
      <c r="Q940" s="2"/>
      <c r="R940" s="2"/>
      <c r="S940" s="2"/>
      <c r="T940" s="2"/>
      <c r="U940" s="2"/>
      <c r="V940" s="105"/>
    </row>
    <row r="941" spans="1:22" x14ac:dyDescent="0.25">
      <c r="A941" s="106"/>
      <c r="F941" s="105"/>
      <c r="H941" s="105"/>
      <c r="J941" s="105"/>
      <c r="K941" s="2"/>
      <c r="L941" s="105"/>
      <c r="M941" s="2"/>
      <c r="N941" s="105"/>
      <c r="O941" s="2"/>
      <c r="P941" s="2"/>
      <c r="Q941" s="2"/>
      <c r="R941" s="2"/>
      <c r="S941" s="2"/>
      <c r="T941" s="2"/>
      <c r="U941" s="2"/>
      <c r="V941" s="105"/>
    </row>
    <row r="942" spans="1:22" x14ac:dyDescent="0.25">
      <c r="A942" s="106"/>
      <c r="F942" s="105"/>
      <c r="H942" s="105"/>
      <c r="J942" s="105"/>
      <c r="K942" s="2"/>
      <c r="L942" s="105"/>
      <c r="M942" s="2"/>
      <c r="N942" s="105"/>
      <c r="O942" s="2"/>
      <c r="P942" s="2"/>
      <c r="Q942" s="2"/>
      <c r="R942" s="2"/>
      <c r="S942" s="2"/>
      <c r="T942" s="2"/>
      <c r="U942" s="2"/>
      <c r="V942" s="105"/>
    </row>
    <row r="943" spans="1:22" x14ac:dyDescent="0.25">
      <c r="A943" s="106"/>
      <c r="F943" s="105"/>
      <c r="H943" s="105"/>
      <c r="J943" s="105"/>
      <c r="K943" s="2"/>
      <c r="L943" s="105"/>
      <c r="M943" s="2"/>
      <c r="N943" s="105"/>
      <c r="O943" s="2"/>
      <c r="P943" s="2"/>
      <c r="Q943" s="2"/>
      <c r="R943" s="2"/>
      <c r="S943" s="2"/>
      <c r="T943" s="2"/>
      <c r="U943" s="2"/>
      <c r="V943" s="105"/>
    </row>
    <row r="944" spans="1:22" x14ac:dyDescent="0.25">
      <c r="A944" s="106"/>
      <c r="F944" s="105"/>
      <c r="H944" s="105"/>
      <c r="J944" s="105"/>
      <c r="K944" s="2"/>
      <c r="L944" s="105"/>
      <c r="M944" s="2"/>
      <c r="N944" s="105"/>
      <c r="O944" s="2"/>
      <c r="P944" s="2"/>
      <c r="Q944" s="2"/>
      <c r="R944" s="2"/>
      <c r="S944" s="2"/>
      <c r="T944" s="2"/>
      <c r="U944" s="2"/>
      <c r="V944" s="105"/>
    </row>
    <row r="945" spans="1:22" x14ac:dyDescent="0.25">
      <c r="A945" s="106"/>
      <c r="F945" s="105"/>
      <c r="H945" s="105"/>
      <c r="J945" s="105"/>
      <c r="K945" s="2"/>
      <c r="L945" s="105"/>
      <c r="M945" s="2"/>
      <c r="N945" s="105"/>
      <c r="O945" s="2"/>
      <c r="P945" s="2"/>
      <c r="Q945" s="2"/>
      <c r="R945" s="2"/>
      <c r="S945" s="2"/>
      <c r="T945" s="2"/>
      <c r="U945" s="2"/>
      <c r="V945" s="105"/>
    </row>
    <row r="946" spans="1:22" x14ac:dyDescent="0.25">
      <c r="A946" s="106"/>
      <c r="F946" s="105"/>
      <c r="H946" s="105"/>
      <c r="J946" s="105"/>
      <c r="K946" s="2"/>
      <c r="L946" s="105"/>
      <c r="M946" s="2"/>
      <c r="N946" s="105"/>
      <c r="O946" s="2"/>
      <c r="P946" s="2"/>
      <c r="Q946" s="2"/>
      <c r="R946" s="2"/>
      <c r="S946" s="2"/>
      <c r="T946" s="2"/>
      <c r="U946" s="2"/>
      <c r="V946" s="105"/>
    </row>
    <row r="947" spans="1:22" x14ac:dyDescent="0.25">
      <c r="A947" s="106"/>
      <c r="F947" s="105"/>
      <c r="H947" s="105"/>
      <c r="J947" s="105"/>
      <c r="K947" s="2"/>
      <c r="L947" s="105"/>
      <c r="M947" s="2"/>
      <c r="N947" s="105"/>
      <c r="O947" s="2"/>
      <c r="P947" s="2"/>
      <c r="Q947" s="2"/>
      <c r="R947" s="2"/>
      <c r="S947" s="2"/>
      <c r="T947" s="2"/>
      <c r="U947" s="2"/>
      <c r="V947" s="105"/>
    </row>
    <row r="948" spans="1:22" x14ac:dyDescent="0.25">
      <c r="A948" s="106"/>
      <c r="F948" s="105"/>
      <c r="H948" s="105"/>
      <c r="J948" s="105"/>
      <c r="K948" s="2"/>
      <c r="L948" s="105"/>
      <c r="M948" s="2"/>
      <c r="N948" s="105"/>
      <c r="O948" s="2"/>
      <c r="P948" s="2"/>
      <c r="Q948" s="2"/>
      <c r="R948" s="2"/>
      <c r="S948" s="2"/>
      <c r="T948" s="2"/>
      <c r="U948" s="2"/>
      <c r="V948" s="105"/>
    </row>
    <row r="949" spans="1:22" x14ac:dyDescent="0.25">
      <c r="A949" s="106"/>
      <c r="F949" s="105"/>
      <c r="H949" s="105"/>
      <c r="J949" s="105"/>
      <c r="K949" s="2"/>
      <c r="L949" s="105"/>
      <c r="M949" s="2"/>
      <c r="N949" s="105"/>
      <c r="O949" s="2"/>
      <c r="P949" s="2"/>
      <c r="Q949" s="2"/>
      <c r="R949" s="2"/>
      <c r="S949" s="2"/>
      <c r="T949" s="2"/>
      <c r="U949" s="2"/>
      <c r="V949" s="105"/>
    </row>
    <row r="950" spans="1:22" x14ac:dyDescent="0.25">
      <c r="A950" s="106"/>
      <c r="F950" s="105"/>
      <c r="H950" s="105"/>
      <c r="J950" s="105"/>
      <c r="K950" s="2"/>
      <c r="L950" s="105"/>
      <c r="M950" s="2"/>
      <c r="N950" s="105"/>
      <c r="O950" s="2"/>
      <c r="P950" s="2"/>
      <c r="Q950" s="2"/>
      <c r="R950" s="2"/>
      <c r="S950" s="2"/>
      <c r="T950" s="2"/>
      <c r="U950" s="2"/>
      <c r="V950" s="105"/>
    </row>
    <row r="951" spans="1:22" x14ac:dyDescent="0.25">
      <c r="A951" s="106"/>
      <c r="F951" s="105"/>
      <c r="H951" s="105"/>
      <c r="J951" s="105"/>
      <c r="K951" s="2"/>
      <c r="L951" s="105"/>
      <c r="M951" s="2"/>
      <c r="N951" s="105"/>
      <c r="O951" s="2"/>
      <c r="P951" s="2"/>
      <c r="Q951" s="2"/>
      <c r="R951" s="2"/>
      <c r="S951" s="2"/>
      <c r="T951" s="2"/>
      <c r="U951" s="2"/>
      <c r="V951" s="105"/>
    </row>
    <row r="952" spans="1:22" x14ac:dyDescent="0.25">
      <c r="A952" s="106"/>
      <c r="F952" s="105"/>
      <c r="H952" s="105"/>
      <c r="J952" s="105"/>
      <c r="K952" s="2"/>
      <c r="L952" s="105"/>
      <c r="M952" s="2"/>
      <c r="N952" s="105"/>
      <c r="O952" s="2"/>
      <c r="P952" s="2"/>
      <c r="Q952" s="2"/>
      <c r="R952" s="2"/>
      <c r="S952" s="2"/>
      <c r="T952" s="2"/>
      <c r="U952" s="2"/>
      <c r="V952" s="105"/>
    </row>
    <row r="953" spans="1:22" x14ac:dyDescent="0.25">
      <c r="A953" s="106"/>
      <c r="F953" s="105"/>
      <c r="H953" s="105"/>
      <c r="J953" s="105"/>
      <c r="K953" s="2"/>
      <c r="L953" s="105"/>
      <c r="M953" s="2"/>
      <c r="N953" s="105"/>
      <c r="O953" s="2"/>
      <c r="P953" s="2"/>
      <c r="Q953" s="2"/>
      <c r="R953" s="2"/>
      <c r="S953" s="2"/>
      <c r="T953" s="2"/>
      <c r="U953" s="2"/>
      <c r="V953" s="105"/>
    </row>
    <row r="954" spans="1:22" x14ac:dyDescent="0.25">
      <c r="A954" s="106"/>
      <c r="F954" s="105"/>
      <c r="H954" s="105"/>
      <c r="J954" s="105"/>
      <c r="K954" s="2"/>
      <c r="L954" s="105"/>
      <c r="M954" s="2"/>
      <c r="N954" s="105"/>
      <c r="O954" s="2"/>
      <c r="P954" s="2"/>
      <c r="Q954" s="2"/>
      <c r="R954" s="2"/>
      <c r="S954" s="2"/>
      <c r="T954" s="2"/>
      <c r="U954" s="2"/>
      <c r="V954" s="105"/>
    </row>
    <row r="955" spans="1:22" x14ac:dyDescent="0.25">
      <c r="A955" s="106"/>
      <c r="F955" s="105"/>
      <c r="H955" s="105"/>
      <c r="J955" s="105"/>
      <c r="K955" s="2"/>
      <c r="L955" s="105"/>
      <c r="M955" s="2"/>
      <c r="N955" s="105"/>
      <c r="O955" s="2"/>
      <c r="P955" s="2"/>
      <c r="Q955" s="2"/>
      <c r="R955" s="2"/>
      <c r="S955" s="2"/>
      <c r="T955" s="2"/>
      <c r="U955" s="2"/>
      <c r="V955" s="105"/>
    </row>
    <row r="956" spans="1:22" x14ac:dyDescent="0.25">
      <c r="A956" s="106"/>
      <c r="F956" s="105"/>
      <c r="H956" s="105"/>
      <c r="J956" s="105"/>
      <c r="K956" s="2"/>
      <c r="L956" s="105"/>
      <c r="M956" s="2"/>
      <c r="N956" s="105"/>
      <c r="O956" s="2"/>
      <c r="P956" s="2"/>
      <c r="Q956" s="2"/>
      <c r="R956" s="2"/>
      <c r="S956" s="2"/>
      <c r="T956" s="2"/>
      <c r="U956" s="2"/>
      <c r="V956" s="105"/>
    </row>
    <row r="957" spans="1:22" x14ac:dyDescent="0.25">
      <c r="A957" s="106"/>
      <c r="F957" s="105"/>
      <c r="H957" s="105"/>
      <c r="J957" s="105"/>
      <c r="K957" s="2"/>
      <c r="L957" s="105"/>
      <c r="M957" s="2"/>
      <c r="N957" s="105"/>
      <c r="O957" s="2"/>
      <c r="P957" s="2"/>
      <c r="Q957" s="2"/>
      <c r="R957" s="2"/>
      <c r="S957" s="2"/>
      <c r="T957" s="2"/>
      <c r="U957" s="2"/>
      <c r="V957" s="105"/>
    </row>
    <row r="958" spans="1:22" x14ac:dyDescent="0.25">
      <c r="A958" s="106"/>
      <c r="F958" s="105"/>
      <c r="H958" s="105"/>
      <c r="J958" s="105"/>
      <c r="K958" s="2"/>
      <c r="L958" s="105"/>
      <c r="M958" s="2"/>
      <c r="N958" s="105"/>
      <c r="O958" s="2"/>
      <c r="P958" s="2"/>
      <c r="Q958" s="2"/>
      <c r="R958" s="2"/>
      <c r="S958" s="2"/>
      <c r="T958" s="2"/>
      <c r="U958" s="2"/>
      <c r="V958" s="105"/>
    </row>
    <row r="959" spans="1:22" x14ac:dyDescent="0.25">
      <c r="A959" s="106"/>
      <c r="F959" s="105"/>
      <c r="H959" s="105"/>
      <c r="J959" s="105"/>
      <c r="K959" s="2"/>
      <c r="L959" s="105"/>
      <c r="M959" s="2"/>
      <c r="N959" s="105"/>
      <c r="O959" s="2"/>
      <c r="P959" s="2"/>
      <c r="Q959" s="2"/>
      <c r="R959" s="2"/>
      <c r="S959" s="2"/>
      <c r="T959" s="2"/>
      <c r="U959" s="2"/>
      <c r="V959" s="105"/>
    </row>
    <row r="960" spans="1:22" x14ac:dyDescent="0.25">
      <c r="A960" s="106"/>
      <c r="F960" s="105"/>
      <c r="H960" s="105"/>
      <c r="J960" s="105"/>
      <c r="K960" s="2"/>
      <c r="L960" s="105"/>
      <c r="M960" s="2"/>
      <c r="N960" s="105"/>
      <c r="O960" s="2"/>
      <c r="P960" s="2"/>
      <c r="Q960" s="2"/>
      <c r="R960" s="2"/>
      <c r="S960" s="2"/>
      <c r="T960" s="2"/>
      <c r="U960" s="2"/>
      <c r="V960" s="105"/>
    </row>
    <row r="961" spans="1:22" x14ac:dyDescent="0.25">
      <c r="A961" s="106"/>
      <c r="F961" s="105"/>
      <c r="H961" s="105"/>
      <c r="J961" s="105"/>
      <c r="K961" s="2"/>
      <c r="L961" s="105"/>
      <c r="M961" s="2"/>
      <c r="N961" s="105"/>
      <c r="O961" s="2"/>
      <c r="P961" s="2"/>
      <c r="Q961" s="2"/>
      <c r="R961" s="2"/>
      <c r="S961" s="2"/>
      <c r="T961" s="2"/>
      <c r="U961" s="2"/>
      <c r="V961" s="105"/>
    </row>
    <row r="962" spans="1:22" x14ac:dyDescent="0.25">
      <c r="A962" s="106"/>
      <c r="F962" s="105"/>
      <c r="H962" s="105"/>
      <c r="J962" s="105"/>
      <c r="K962" s="2"/>
      <c r="L962" s="105"/>
      <c r="M962" s="2"/>
      <c r="N962" s="105"/>
      <c r="O962" s="2"/>
      <c r="P962" s="2"/>
      <c r="Q962" s="2"/>
      <c r="R962" s="2"/>
      <c r="S962" s="2"/>
      <c r="T962" s="2"/>
      <c r="U962" s="2"/>
      <c r="V962" s="105"/>
    </row>
    <row r="963" spans="1:22" x14ac:dyDescent="0.25">
      <c r="A963" s="106"/>
      <c r="F963" s="105"/>
      <c r="H963" s="105"/>
      <c r="J963" s="105"/>
      <c r="K963" s="2"/>
      <c r="L963" s="105"/>
      <c r="M963" s="2"/>
      <c r="N963" s="105"/>
      <c r="O963" s="2"/>
      <c r="P963" s="2"/>
      <c r="Q963" s="2"/>
      <c r="R963" s="2"/>
      <c r="S963" s="2"/>
      <c r="T963" s="2"/>
      <c r="U963" s="2"/>
      <c r="V963" s="105"/>
    </row>
    <row r="964" spans="1:22" x14ac:dyDescent="0.25">
      <c r="A964" s="106"/>
      <c r="F964" s="105"/>
      <c r="H964" s="105"/>
      <c r="J964" s="105"/>
      <c r="K964" s="2"/>
      <c r="L964" s="105"/>
      <c r="M964" s="2"/>
      <c r="N964" s="105"/>
      <c r="O964" s="2"/>
      <c r="P964" s="2"/>
      <c r="Q964" s="2"/>
      <c r="R964" s="2"/>
      <c r="S964" s="2"/>
      <c r="T964" s="2"/>
      <c r="U964" s="2"/>
      <c r="V964" s="105"/>
    </row>
    <row r="965" spans="1:22" x14ac:dyDescent="0.25">
      <c r="A965" s="106"/>
      <c r="F965" s="105"/>
      <c r="H965" s="105"/>
      <c r="J965" s="105"/>
      <c r="K965" s="2"/>
      <c r="L965" s="105"/>
      <c r="M965" s="2"/>
      <c r="N965" s="105"/>
      <c r="O965" s="2"/>
      <c r="P965" s="2"/>
      <c r="Q965" s="2"/>
      <c r="R965" s="2"/>
      <c r="S965" s="2"/>
      <c r="T965" s="2"/>
      <c r="U965" s="2"/>
      <c r="V965" s="105"/>
    </row>
    <row r="966" spans="1:22" x14ac:dyDescent="0.25">
      <c r="A966" s="106"/>
      <c r="F966" s="105"/>
      <c r="H966" s="105"/>
      <c r="J966" s="105"/>
      <c r="K966" s="2"/>
      <c r="L966" s="105"/>
      <c r="M966" s="2"/>
      <c r="N966" s="105"/>
      <c r="O966" s="2"/>
      <c r="P966" s="2"/>
      <c r="Q966" s="2"/>
      <c r="R966" s="2"/>
      <c r="S966" s="2"/>
      <c r="T966" s="2"/>
      <c r="U966" s="2"/>
      <c r="V966" s="105"/>
    </row>
    <row r="967" spans="1:22" x14ac:dyDescent="0.25">
      <c r="A967" s="106"/>
      <c r="F967" s="105"/>
      <c r="H967" s="105"/>
      <c r="J967" s="105"/>
      <c r="K967" s="2"/>
      <c r="L967" s="105"/>
      <c r="M967" s="2"/>
      <c r="N967" s="105"/>
      <c r="O967" s="2"/>
      <c r="P967" s="2"/>
      <c r="Q967" s="2"/>
      <c r="R967" s="2"/>
      <c r="S967" s="2"/>
      <c r="T967" s="2"/>
      <c r="U967" s="2"/>
      <c r="V967" s="105"/>
    </row>
    <row r="968" spans="1:22" x14ac:dyDescent="0.25">
      <c r="A968" s="106"/>
      <c r="F968" s="105"/>
      <c r="H968" s="105"/>
      <c r="J968" s="105"/>
      <c r="K968" s="2"/>
      <c r="L968" s="105"/>
      <c r="M968" s="2"/>
      <c r="N968" s="105"/>
      <c r="O968" s="2"/>
      <c r="P968" s="2"/>
      <c r="Q968" s="2"/>
      <c r="R968" s="2"/>
      <c r="S968" s="2"/>
      <c r="T968" s="2"/>
      <c r="U968" s="2"/>
      <c r="V968" s="105"/>
    </row>
    <row r="969" spans="1:22" x14ac:dyDescent="0.25">
      <c r="A969" s="106"/>
      <c r="F969" s="105"/>
      <c r="H969" s="105"/>
      <c r="J969" s="105"/>
      <c r="K969" s="2"/>
      <c r="L969" s="105"/>
      <c r="M969" s="2"/>
      <c r="N969" s="105"/>
      <c r="O969" s="2"/>
      <c r="P969" s="2"/>
      <c r="Q969" s="2"/>
      <c r="R969" s="2"/>
      <c r="S969" s="2"/>
      <c r="T969" s="2"/>
      <c r="U969" s="2"/>
      <c r="V969" s="105"/>
    </row>
    <row r="970" spans="1:22" x14ac:dyDescent="0.25">
      <c r="A970" s="106"/>
      <c r="F970" s="105"/>
      <c r="H970" s="105"/>
      <c r="J970" s="105"/>
      <c r="K970" s="2"/>
      <c r="L970" s="105"/>
      <c r="M970" s="2"/>
      <c r="N970" s="105"/>
      <c r="O970" s="2"/>
      <c r="P970" s="2"/>
      <c r="Q970" s="2"/>
      <c r="R970" s="2"/>
      <c r="S970" s="2"/>
      <c r="T970" s="2"/>
      <c r="U970" s="2"/>
      <c r="V970" s="105"/>
    </row>
    <row r="971" spans="1:22" x14ac:dyDescent="0.25">
      <c r="A971" s="106"/>
      <c r="F971" s="105"/>
      <c r="H971" s="105"/>
      <c r="J971" s="105"/>
      <c r="K971" s="2"/>
      <c r="L971" s="105"/>
      <c r="M971" s="2"/>
      <c r="N971" s="105"/>
      <c r="O971" s="2"/>
      <c r="P971" s="2"/>
      <c r="Q971" s="2"/>
      <c r="R971" s="2"/>
      <c r="S971" s="2"/>
      <c r="T971" s="2"/>
      <c r="U971" s="2"/>
      <c r="V971" s="105"/>
    </row>
    <row r="972" spans="1:22" x14ac:dyDescent="0.25">
      <c r="A972" s="106"/>
      <c r="F972" s="105"/>
      <c r="H972" s="105"/>
      <c r="J972" s="105"/>
      <c r="K972" s="2"/>
      <c r="L972" s="105"/>
      <c r="M972" s="2"/>
      <c r="N972" s="105"/>
      <c r="O972" s="2"/>
      <c r="P972" s="2"/>
      <c r="Q972" s="2"/>
      <c r="R972" s="2"/>
      <c r="S972" s="2"/>
      <c r="T972" s="2"/>
      <c r="U972" s="2"/>
      <c r="V972" s="105"/>
    </row>
    <row r="973" spans="1:22" x14ac:dyDescent="0.25">
      <c r="A973" s="106"/>
      <c r="F973" s="105"/>
      <c r="H973" s="105"/>
      <c r="J973" s="105"/>
      <c r="K973" s="2"/>
      <c r="L973" s="105"/>
      <c r="M973" s="2"/>
      <c r="N973" s="105"/>
      <c r="O973" s="2"/>
      <c r="P973" s="2"/>
      <c r="Q973" s="2"/>
      <c r="R973" s="2"/>
      <c r="S973" s="2"/>
      <c r="T973" s="2"/>
      <c r="U973" s="2"/>
      <c r="V973" s="105"/>
    </row>
    <row r="974" spans="1:22" x14ac:dyDescent="0.25">
      <c r="A974" s="106"/>
      <c r="F974" s="105"/>
      <c r="H974" s="105"/>
      <c r="J974" s="105"/>
      <c r="K974" s="2"/>
      <c r="L974" s="105"/>
      <c r="M974" s="2"/>
      <c r="N974" s="105"/>
      <c r="O974" s="2"/>
      <c r="P974" s="2"/>
      <c r="Q974" s="2"/>
      <c r="R974" s="2"/>
      <c r="S974" s="2"/>
      <c r="T974" s="2"/>
      <c r="U974" s="2"/>
      <c r="V974" s="105"/>
    </row>
    <row r="975" spans="1:22" x14ac:dyDescent="0.25">
      <c r="A975" s="106"/>
      <c r="F975" s="105"/>
      <c r="H975" s="105"/>
      <c r="J975" s="105"/>
      <c r="K975" s="2"/>
      <c r="L975" s="105"/>
      <c r="M975" s="2"/>
      <c r="N975" s="105"/>
      <c r="O975" s="2"/>
      <c r="P975" s="2"/>
      <c r="Q975" s="2"/>
      <c r="R975" s="2"/>
      <c r="S975" s="2"/>
      <c r="T975" s="2"/>
      <c r="U975" s="2"/>
      <c r="V975" s="105"/>
    </row>
    <row r="976" spans="1:22" x14ac:dyDescent="0.25">
      <c r="A976" s="106"/>
      <c r="F976" s="105"/>
      <c r="H976" s="105"/>
      <c r="J976" s="105"/>
      <c r="K976" s="2"/>
      <c r="L976" s="105"/>
      <c r="M976" s="2"/>
      <c r="N976" s="105"/>
      <c r="O976" s="2"/>
      <c r="P976" s="2"/>
      <c r="Q976" s="2"/>
      <c r="R976" s="2"/>
      <c r="S976" s="2"/>
      <c r="T976" s="2"/>
      <c r="U976" s="2"/>
      <c r="V976" s="105"/>
    </row>
    <row r="977" spans="1:22" x14ac:dyDescent="0.25">
      <c r="A977" s="106"/>
      <c r="F977" s="105"/>
      <c r="H977" s="105"/>
      <c r="J977" s="105"/>
      <c r="K977" s="2"/>
      <c r="L977" s="105"/>
      <c r="M977" s="2"/>
      <c r="N977" s="105"/>
      <c r="O977" s="2"/>
      <c r="P977" s="2"/>
      <c r="Q977" s="2"/>
      <c r="R977" s="2"/>
      <c r="S977" s="2"/>
      <c r="T977" s="2"/>
      <c r="U977" s="2"/>
      <c r="V977" s="105"/>
    </row>
    <row r="978" spans="1:22" x14ac:dyDescent="0.25">
      <c r="A978" s="106"/>
      <c r="F978" s="105"/>
      <c r="H978" s="105"/>
      <c r="J978" s="105"/>
      <c r="K978" s="2"/>
      <c r="L978" s="105"/>
      <c r="M978" s="2"/>
      <c r="N978" s="105"/>
      <c r="O978" s="2"/>
      <c r="P978" s="2"/>
      <c r="Q978" s="2"/>
      <c r="R978" s="2"/>
      <c r="S978" s="2"/>
      <c r="T978" s="2"/>
      <c r="U978" s="2"/>
      <c r="V978" s="105"/>
    </row>
    <row r="979" spans="1:22" x14ac:dyDescent="0.25">
      <c r="A979" s="106"/>
      <c r="F979" s="105"/>
      <c r="H979" s="105"/>
      <c r="J979" s="105"/>
      <c r="K979" s="2"/>
      <c r="L979" s="105"/>
      <c r="M979" s="2"/>
      <c r="N979" s="105"/>
      <c r="O979" s="2"/>
      <c r="P979" s="2"/>
      <c r="Q979" s="2"/>
      <c r="R979" s="2"/>
      <c r="S979" s="2"/>
      <c r="T979" s="2"/>
      <c r="U979" s="2"/>
      <c r="V979" s="105"/>
    </row>
    <row r="980" spans="1:22" x14ac:dyDescent="0.25">
      <c r="A980" s="106"/>
      <c r="F980" s="105"/>
      <c r="H980" s="105"/>
      <c r="J980" s="105"/>
      <c r="K980" s="2"/>
      <c r="L980" s="105"/>
      <c r="M980" s="2"/>
      <c r="N980" s="105"/>
      <c r="O980" s="2"/>
      <c r="P980" s="2"/>
      <c r="Q980" s="2"/>
      <c r="R980" s="2"/>
      <c r="S980" s="2"/>
      <c r="T980" s="2"/>
      <c r="U980" s="2"/>
      <c r="V980" s="105"/>
    </row>
    <row r="981" spans="1:22" x14ac:dyDescent="0.25">
      <c r="A981" s="106"/>
      <c r="F981" s="105"/>
      <c r="H981" s="105"/>
      <c r="J981" s="105"/>
      <c r="K981" s="2"/>
      <c r="L981" s="105"/>
      <c r="M981" s="2"/>
      <c r="N981" s="105"/>
      <c r="O981" s="2"/>
      <c r="P981" s="2"/>
      <c r="Q981" s="2"/>
      <c r="R981" s="2"/>
      <c r="S981" s="2"/>
      <c r="T981" s="2"/>
      <c r="U981" s="2"/>
      <c r="V981" s="105"/>
    </row>
    <row r="982" spans="1:22" x14ac:dyDescent="0.25">
      <c r="A982" s="106"/>
      <c r="F982" s="105"/>
      <c r="H982" s="105"/>
      <c r="J982" s="105"/>
      <c r="K982" s="2"/>
      <c r="L982" s="105"/>
      <c r="M982" s="2"/>
      <c r="N982" s="105"/>
      <c r="O982" s="2"/>
      <c r="P982" s="2"/>
      <c r="Q982" s="2"/>
      <c r="R982" s="2"/>
      <c r="S982" s="2"/>
      <c r="T982" s="2"/>
      <c r="U982" s="2"/>
      <c r="V982" s="105"/>
    </row>
    <row r="983" spans="1:22" x14ac:dyDescent="0.25">
      <c r="A983" s="106"/>
      <c r="F983" s="105"/>
      <c r="H983" s="105"/>
      <c r="J983" s="105"/>
      <c r="K983" s="2"/>
      <c r="L983" s="105"/>
      <c r="M983" s="2"/>
      <c r="N983" s="105"/>
      <c r="O983" s="2"/>
      <c r="P983" s="2"/>
      <c r="Q983" s="2"/>
      <c r="R983" s="2"/>
      <c r="S983" s="2"/>
      <c r="T983" s="2"/>
      <c r="U983" s="2"/>
      <c r="V983" s="105"/>
    </row>
    <row r="984" spans="1:22" x14ac:dyDescent="0.25">
      <c r="A984" s="106"/>
      <c r="F984" s="105"/>
      <c r="H984" s="105"/>
      <c r="J984" s="105"/>
      <c r="K984" s="2"/>
      <c r="L984" s="105"/>
      <c r="M984" s="2"/>
      <c r="N984" s="105"/>
      <c r="O984" s="2"/>
      <c r="P984" s="2"/>
      <c r="Q984" s="2"/>
      <c r="R984" s="2"/>
      <c r="S984" s="2"/>
      <c r="T984" s="2"/>
      <c r="U984" s="2"/>
      <c r="V984" s="105"/>
    </row>
    <row r="985" spans="1:22" x14ac:dyDescent="0.25">
      <c r="A985" s="106"/>
      <c r="F985" s="105"/>
      <c r="H985" s="105"/>
      <c r="J985" s="105"/>
      <c r="K985" s="2"/>
      <c r="L985" s="105"/>
      <c r="M985" s="2"/>
      <c r="N985" s="105"/>
      <c r="O985" s="2"/>
      <c r="P985" s="2"/>
      <c r="Q985" s="2"/>
      <c r="R985" s="2"/>
      <c r="S985" s="2"/>
      <c r="T985" s="2"/>
      <c r="U985" s="2"/>
      <c r="V985" s="105"/>
    </row>
    <row r="986" spans="1:22" x14ac:dyDescent="0.25">
      <c r="A986" s="106"/>
      <c r="F986" s="105"/>
      <c r="H986" s="105"/>
      <c r="J986" s="105"/>
      <c r="K986" s="2"/>
      <c r="L986" s="105"/>
      <c r="M986" s="2"/>
      <c r="N986" s="105"/>
      <c r="O986" s="2"/>
      <c r="P986" s="2"/>
      <c r="Q986" s="2"/>
      <c r="R986" s="2"/>
      <c r="S986" s="2"/>
      <c r="T986" s="2"/>
      <c r="U986" s="2"/>
      <c r="V986" s="105"/>
    </row>
    <row r="987" spans="1:22" x14ac:dyDescent="0.25">
      <c r="A987" s="106"/>
      <c r="F987" s="105"/>
      <c r="H987" s="105"/>
      <c r="J987" s="105"/>
      <c r="K987" s="2"/>
      <c r="L987" s="105"/>
      <c r="M987" s="2"/>
      <c r="N987" s="105"/>
      <c r="O987" s="2"/>
      <c r="P987" s="2"/>
      <c r="Q987" s="2"/>
      <c r="R987" s="2"/>
      <c r="S987" s="2"/>
      <c r="T987" s="2"/>
      <c r="U987" s="2"/>
      <c r="V987" s="105"/>
    </row>
    <row r="988" spans="1:22" x14ac:dyDescent="0.25">
      <c r="A988" s="106"/>
      <c r="F988" s="105"/>
      <c r="H988" s="105"/>
      <c r="J988" s="105"/>
      <c r="K988" s="2"/>
      <c r="L988" s="105"/>
      <c r="M988" s="2"/>
      <c r="N988" s="105"/>
      <c r="O988" s="2"/>
      <c r="P988" s="2"/>
      <c r="Q988" s="2"/>
      <c r="R988" s="2"/>
      <c r="S988" s="2"/>
      <c r="T988" s="2"/>
      <c r="U988" s="2"/>
      <c r="V988" s="105"/>
    </row>
    <row r="989" spans="1:22" x14ac:dyDescent="0.25">
      <c r="A989" s="106"/>
      <c r="F989" s="105"/>
      <c r="H989" s="105"/>
      <c r="J989" s="105"/>
      <c r="K989" s="2"/>
      <c r="L989" s="105"/>
      <c r="M989" s="2"/>
      <c r="N989" s="105"/>
      <c r="O989" s="2"/>
      <c r="P989" s="2"/>
      <c r="Q989" s="2"/>
      <c r="R989" s="2"/>
      <c r="S989" s="2"/>
      <c r="T989" s="2"/>
      <c r="U989" s="2"/>
      <c r="V989" s="105"/>
    </row>
    <row r="990" spans="1:22" x14ac:dyDescent="0.25">
      <c r="A990" s="106"/>
      <c r="F990" s="105"/>
      <c r="H990" s="105"/>
      <c r="J990" s="105"/>
      <c r="K990" s="2"/>
      <c r="L990" s="105"/>
      <c r="M990" s="2"/>
      <c r="N990" s="105"/>
      <c r="O990" s="2"/>
      <c r="P990" s="2"/>
      <c r="Q990" s="2"/>
      <c r="R990" s="2"/>
      <c r="S990" s="2"/>
      <c r="T990" s="2"/>
      <c r="U990" s="2"/>
      <c r="V990" s="105"/>
    </row>
    <row r="991" spans="1:22" x14ac:dyDescent="0.25">
      <c r="A991" s="106"/>
      <c r="F991" s="105"/>
      <c r="H991" s="105"/>
      <c r="J991" s="105"/>
      <c r="K991" s="2"/>
      <c r="L991" s="105"/>
      <c r="M991" s="2"/>
      <c r="N991" s="105"/>
      <c r="O991" s="2"/>
      <c r="P991" s="2"/>
      <c r="Q991" s="2"/>
      <c r="R991" s="2"/>
      <c r="S991" s="2"/>
      <c r="T991" s="2"/>
      <c r="U991" s="2"/>
      <c r="V991" s="105"/>
    </row>
    <row r="992" spans="1:22" x14ac:dyDescent="0.25">
      <c r="A992" s="106"/>
      <c r="F992" s="105"/>
      <c r="H992" s="105"/>
      <c r="J992" s="105"/>
      <c r="K992" s="2"/>
      <c r="L992" s="105"/>
      <c r="M992" s="2"/>
      <c r="N992" s="105"/>
      <c r="O992" s="2"/>
      <c r="P992" s="2"/>
      <c r="Q992" s="2"/>
      <c r="R992" s="2"/>
      <c r="S992" s="2"/>
      <c r="T992" s="2"/>
      <c r="U992" s="2"/>
      <c r="V992" s="105"/>
    </row>
    <row r="993" spans="1:22" x14ac:dyDescent="0.25">
      <c r="A993" s="106"/>
      <c r="F993" s="105"/>
      <c r="H993" s="105"/>
      <c r="J993" s="105"/>
      <c r="K993" s="2"/>
      <c r="L993" s="105"/>
      <c r="M993" s="2"/>
      <c r="N993" s="105"/>
      <c r="O993" s="2"/>
      <c r="P993" s="2"/>
      <c r="Q993" s="2"/>
      <c r="R993" s="2"/>
      <c r="S993" s="2"/>
      <c r="T993" s="2"/>
      <c r="U993" s="2"/>
      <c r="V993" s="105"/>
    </row>
    <row r="994" spans="1:22" x14ac:dyDescent="0.25">
      <c r="A994" s="106"/>
      <c r="F994" s="105"/>
      <c r="H994" s="105"/>
      <c r="J994" s="105"/>
      <c r="K994" s="2"/>
      <c r="L994" s="105"/>
      <c r="M994" s="2"/>
      <c r="N994" s="105"/>
      <c r="O994" s="2"/>
      <c r="P994" s="2"/>
      <c r="Q994" s="2"/>
      <c r="R994" s="2"/>
      <c r="S994" s="2"/>
      <c r="T994" s="2"/>
      <c r="U994" s="2"/>
      <c r="V994" s="105"/>
    </row>
    <row r="995" spans="1:22" x14ac:dyDescent="0.25">
      <c r="A995" s="106"/>
      <c r="F995" s="105"/>
      <c r="H995" s="105"/>
      <c r="J995" s="105"/>
      <c r="K995" s="2"/>
      <c r="L995" s="105"/>
      <c r="M995" s="2"/>
      <c r="N995" s="105"/>
      <c r="O995" s="2"/>
      <c r="P995" s="2"/>
      <c r="Q995" s="2"/>
      <c r="R995" s="2"/>
      <c r="S995" s="2"/>
      <c r="T995" s="2"/>
      <c r="U995" s="2"/>
      <c r="V995" s="105"/>
    </row>
    <row r="996" spans="1:22" x14ac:dyDescent="0.25">
      <c r="A996" s="106"/>
      <c r="F996" s="105"/>
      <c r="H996" s="105"/>
      <c r="J996" s="105"/>
      <c r="K996" s="2"/>
      <c r="L996" s="105"/>
      <c r="M996" s="2"/>
      <c r="N996" s="105"/>
      <c r="O996" s="2"/>
      <c r="P996" s="2"/>
      <c r="Q996" s="2"/>
      <c r="R996" s="2"/>
      <c r="S996" s="2"/>
      <c r="T996" s="2"/>
      <c r="U996" s="2"/>
      <c r="V996" s="105"/>
    </row>
    <row r="997" spans="1:22" x14ac:dyDescent="0.25">
      <c r="A997" s="106"/>
      <c r="F997" s="105"/>
      <c r="H997" s="105"/>
      <c r="J997" s="105"/>
      <c r="K997" s="2"/>
      <c r="L997" s="105"/>
      <c r="M997" s="2"/>
      <c r="N997" s="105"/>
      <c r="O997" s="2"/>
      <c r="P997" s="2"/>
      <c r="Q997" s="2"/>
      <c r="R997" s="2"/>
      <c r="S997" s="2"/>
      <c r="T997" s="2"/>
      <c r="U997" s="2"/>
      <c r="V997" s="105"/>
    </row>
    <row r="998" spans="1:22" x14ac:dyDescent="0.25">
      <c r="A998" s="106"/>
      <c r="F998" s="105"/>
      <c r="H998" s="105"/>
      <c r="J998" s="105"/>
      <c r="K998" s="2"/>
      <c r="L998" s="105"/>
      <c r="M998" s="2"/>
      <c r="N998" s="105"/>
      <c r="O998" s="2"/>
      <c r="P998" s="2"/>
      <c r="Q998" s="2"/>
      <c r="R998" s="2"/>
      <c r="S998" s="2"/>
      <c r="T998" s="2"/>
      <c r="U998" s="2"/>
      <c r="V998" s="105"/>
    </row>
    <row r="999" spans="1:22" x14ac:dyDescent="0.25">
      <c r="A999" s="106"/>
      <c r="F999" s="105"/>
      <c r="H999" s="105"/>
      <c r="J999" s="105"/>
      <c r="K999" s="2"/>
      <c r="L999" s="105"/>
      <c r="M999" s="2"/>
      <c r="N999" s="105"/>
      <c r="O999" s="2"/>
      <c r="P999" s="2"/>
      <c r="Q999" s="2"/>
      <c r="R999" s="2"/>
      <c r="S999" s="2"/>
      <c r="T999" s="2"/>
      <c r="U999" s="2"/>
      <c r="V999" s="10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26A6D-CC0D-478D-B939-E4C5166502FD}">
  <dimension ref="A1:AE54"/>
  <sheetViews>
    <sheetView zoomScale="86" zoomScaleNormal="86" workbookViewId="0">
      <selection activeCell="L3" sqref="L3"/>
    </sheetView>
  </sheetViews>
  <sheetFormatPr defaultRowHeight="15" x14ac:dyDescent="0.25"/>
  <cols>
    <col min="1" max="1" width="10.140625" style="1" customWidth="1"/>
    <col min="2" max="3" width="8.85546875" style="2"/>
    <col min="4" max="5" width="8.85546875" style="2" customWidth="1"/>
    <col min="6" max="6" width="11" style="2" customWidth="1"/>
    <col min="7" max="8" width="9.5703125" style="2" customWidth="1"/>
    <col min="9" max="11" width="10.28515625" style="2" customWidth="1"/>
    <col min="12" max="12" width="8.85546875" style="2" customWidth="1"/>
    <col min="13" max="13" width="10" style="2" customWidth="1"/>
    <col min="14" max="14" width="9.85546875" style="2" customWidth="1"/>
    <col min="15" max="15" width="11.140625" style="2" customWidth="1"/>
    <col min="16" max="17" width="15" style="2" customWidth="1"/>
    <col min="18" max="18" width="17.28515625" customWidth="1"/>
    <col min="19" max="19" width="17" style="2" customWidth="1"/>
    <col min="20" max="20" width="15.28515625" style="2" customWidth="1"/>
    <col min="21" max="21" width="14.7109375" style="2" customWidth="1"/>
    <col min="22" max="22" width="14.42578125" style="2" customWidth="1"/>
    <col min="23" max="23" width="15.28515625" style="2" customWidth="1"/>
    <col min="24" max="25" width="9.42578125" style="2" customWidth="1"/>
    <col min="26" max="26" width="8.85546875" style="2"/>
    <col min="27" max="27" width="2.85546875" style="2" customWidth="1"/>
    <col min="28" max="28" width="11.140625" style="2" customWidth="1"/>
    <col min="29" max="29" width="10.42578125" style="2" customWidth="1"/>
    <col min="30" max="31" width="8.85546875" style="2"/>
    <col min="32" max="32" width="3.42578125" customWidth="1"/>
    <col min="33" max="33" width="10.5703125" customWidth="1"/>
    <col min="34" max="34" width="8.85546875" customWidth="1"/>
    <col min="35" max="35" width="20" customWidth="1"/>
    <col min="36" max="36" width="8.85546875" customWidth="1"/>
  </cols>
  <sheetData>
    <row r="1" spans="1:23" x14ac:dyDescent="0.25">
      <c r="A1" s="2" t="s">
        <v>146</v>
      </c>
      <c r="B1" s="107" t="s">
        <v>147</v>
      </c>
      <c r="C1" s="107" t="s">
        <v>148</v>
      </c>
      <c r="D1" s="2" t="s">
        <v>149</v>
      </c>
      <c r="E1" s="2" t="s">
        <v>150</v>
      </c>
      <c r="F1" s="107" t="s">
        <v>151</v>
      </c>
      <c r="G1" s="2" t="s">
        <v>152</v>
      </c>
      <c r="H1" s="2" t="s">
        <v>153</v>
      </c>
      <c r="I1" s="107" t="s">
        <v>154</v>
      </c>
      <c r="J1" s="2" t="s">
        <v>155</v>
      </c>
      <c r="K1" s="2" t="s">
        <v>156</v>
      </c>
      <c r="L1" s="107" t="s">
        <v>157</v>
      </c>
      <c r="M1" s="2" t="s">
        <v>158</v>
      </c>
      <c r="N1" s="2" t="s">
        <v>159</v>
      </c>
      <c r="O1" s="107" t="s">
        <v>160</v>
      </c>
      <c r="P1" s="5" t="s">
        <v>161</v>
      </c>
      <c r="Q1" s="5" t="s">
        <v>162</v>
      </c>
      <c r="R1" s="123" t="s">
        <v>163</v>
      </c>
      <c r="S1" s="123" t="s">
        <v>164</v>
      </c>
      <c r="T1" s="123" t="s">
        <v>165</v>
      </c>
      <c r="U1" s="123" t="s">
        <v>166</v>
      </c>
      <c r="V1" s="123" t="s">
        <v>167</v>
      </c>
      <c r="W1" s="123" t="s">
        <v>168</v>
      </c>
    </row>
    <row r="2" spans="1:23" x14ac:dyDescent="0.25">
      <c r="A2" s="2"/>
    </row>
    <row r="3" spans="1:23" x14ac:dyDescent="0.25">
      <c r="A3" s="106">
        <f>Angles!A3</f>
        <v>1</v>
      </c>
      <c r="B3" s="2">
        <f>IF(A3=0,0,IF(Scores!B3+Scores!C3+Scores!D3=1,1,IF(Scores!B3+Scores!C3+Scores!D3=2,2,IF(Scores!B3+Scores!C3+Scores!D3&gt;=3,3,0))))</f>
        <v>3</v>
      </c>
      <c r="C3" s="2">
        <f>Scores!E3+Scores!F3+Scores!G3</f>
        <v>5</v>
      </c>
      <c r="D3" s="2">
        <f>Scores!H3+Scores!I3</f>
        <v>5</v>
      </c>
      <c r="E3" s="2">
        <f>Scores!J3+Scores!K3</f>
        <v>3</v>
      </c>
      <c r="F3" s="2">
        <f t="shared" ref="F3:F28" si="0">IF(D3&gt;E3,D3,E3)</f>
        <v>5</v>
      </c>
      <c r="G3" s="2">
        <f>Scores!L3</f>
        <v>2</v>
      </c>
      <c r="H3" s="2">
        <f>Scores!N3</f>
        <v>1</v>
      </c>
      <c r="I3" s="2">
        <f t="shared" ref="I3:I28" si="1">IF(A3=0,0,IF(G3&gt;H3,G3,H3))</f>
        <v>2</v>
      </c>
      <c r="J3" s="2">
        <f>Scores!P3+MAX(Scores!Q3,Scores!M3)</f>
        <v>2</v>
      </c>
      <c r="K3" s="2">
        <f>Scores!R3+MAX(Scores!S3,Scores!O3)</f>
        <v>3</v>
      </c>
      <c r="L3" s="2">
        <f t="shared" ref="L3:L28" si="2">IF(J3&gt;K3,J3,K3)</f>
        <v>3</v>
      </c>
      <c r="M3" s="2">
        <f>Scores!T3+Scores!V3</f>
        <v>4</v>
      </c>
      <c r="N3" s="2">
        <f>Scores!U3+Scores!V3</f>
        <v>2</v>
      </c>
      <c r="O3" s="2">
        <f t="shared" ref="O3:O28" si="3">IF(M3&gt;N3,M3,N3)</f>
        <v>4</v>
      </c>
      <c r="P3" s="5">
        <f>IF(B3=0," ",IF(B3=Extra!$S$2,VLOOKUP(C3,Extra!$R$4:$AD$8,O3+1),IF(B3=Extra!$W$2,VLOOKUP(C3,Extra!$R$4:$AD$8,(O3+5)),IF(B3=Extra!$AA$2,VLOOKUP(C3,Extra!$R$4:$AD$8,(O3+9)),0))))</f>
        <v>9</v>
      </c>
      <c r="Q3" s="5">
        <f>IF(I3=0," ",IF(I3=Extra!$S$10,VLOOKUP(F3,Extra!$R$12:$X$17,L3+1),IF(I3=Extra!$V$10,VLOOKUP(F3,Extra!$R$12:$X$17,(L3+4)),0)))</f>
        <v>8</v>
      </c>
      <c r="R3">
        <f>SUM(P3:P28)/26</f>
        <v>4.7307692307692308</v>
      </c>
      <c r="S3">
        <f>SUM(Q3:Q28)/26</f>
        <v>2.3846153846153846</v>
      </c>
      <c r="T3">
        <f>$R$3+3</f>
        <v>7.7307692307692308</v>
      </c>
      <c r="U3">
        <f>S3+2</f>
        <v>4.384615384615385</v>
      </c>
      <c r="V3">
        <f>VLOOKUP(ROUND($T3,0),Extra!$S$21:$AE$32,ROUND($U3,0)+1)</f>
        <v>9</v>
      </c>
      <c r="W3">
        <f>V3+1</f>
        <v>10</v>
      </c>
    </row>
    <row r="4" spans="1:23" x14ac:dyDescent="0.25">
      <c r="A4" s="106">
        <f>Angles!A4</f>
        <v>2</v>
      </c>
      <c r="B4" s="2">
        <f>IF(A4=0,0,IF(Scores!B4+Scores!C4+Scores!D4=1,1,IF(Scores!B4+Scores!C4+Scores!D4=2,2,IF(Scores!B4+Scores!C4+Scores!D4&gt;=3,3,0))))</f>
        <v>3</v>
      </c>
      <c r="C4" s="2">
        <f>Scores!E4+Scores!F4+Scores!G4</f>
        <v>4</v>
      </c>
      <c r="D4" s="2">
        <f>Scores!H4+Scores!I4</f>
        <v>4</v>
      </c>
      <c r="E4" s="2">
        <f>Scores!J4+Scores!K4</f>
        <v>2</v>
      </c>
      <c r="F4" s="2">
        <f t="shared" si="0"/>
        <v>4</v>
      </c>
      <c r="G4" s="2">
        <f>Scores!L4</f>
        <v>2</v>
      </c>
      <c r="H4" s="2">
        <f>Scores!N4</f>
        <v>1</v>
      </c>
      <c r="I4" s="2">
        <f t="shared" si="1"/>
        <v>2</v>
      </c>
      <c r="J4" s="2">
        <f>Scores!P4+MAX(Scores!Q4,Scores!M4)</f>
        <v>1</v>
      </c>
      <c r="K4" s="2">
        <f>Scores!R4+MAX(Scores!S4,Scores!O4)</f>
        <v>3</v>
      </c>
      <c r="L4" s="2">
        <f t="shared" si="2"/>
        <v>3</v>
      </c>
      <c r="M4" s="2">
        <f>Scores!T4+Scores!V4</f>
        <v>2</v>
      </c>
      <c r="N4" s="2">
        <f>Scores!U4+Scores!V4</f>
        <v>3</v>
      </c>
      <c r="O4" s="2">
        <f t="shared" si="3"/>
        <v>3</v>
      </c>
      <c r="P4" s="5">
        <f>IF(B4=0," ",IF(B4=Extra!$S$2,VLOOKUP(C4,Extra!$R$4:$AD$8,O4+1),IF(B4=Extra!$W$2,VLOOKUP(C4,Extra!$R$4:$AD$8,(O4+5)),IF(B4=Extra!$AA$2,VLOOKUP(C4,Extra!$R$4:$AD$8,(O4+9)),0))))</f>
        <v>8</v>
      </c>
      <c r="Q4" s="5">
        <f>IF(I4=0," ",IF(I4=Extra!$S$10,VLOOKUP(F4,Extra!$R$12:$X$17,L4+1),IF(I4=Extra!$V$10,VLOOKUP(F4,Extra!$R$12:$X$17,(L4+4)),0)))</f>
        <v>7</v>
      </c>
      <c r="T4"/>
      <c r="U4"/>
      <c r="V4"/>
      <c r="W4"/>
    </row>
    <row r="5" spans="1:23" x14ac:dyDescent="0.25">
      <c r="A5" s="106">
        <f>Angles!A5</f>
        <v>3</v>
      </c>
      <c r="B5" s="2">
        <f>IF(A5=0,0,IF(Scores!B5+Scores!C5+Scores!D5=1,1,IF(Scores!B5+Scores!C5+Scores!D5=2,2,IF(Scores!B5+Scores!C5+Scores!D5&gt;=3,3,0))))</f>
        <v>3</v>
      </c>
      <c r="C5" s="2">
        <f>Scores!E5+Scores!F5+Scores!G5</f>
        <v>4</v>
      </c>
      <c r="D5" s="2">
        <f>Scores!H5+Scores!I5</f>
        <v>4</v>
      </c>
      <c r="E5" s="2">
        <f>Scores!J5+Scores!K5</f>
        <v>2</v>
      </c>
      <c r="F5" s="2">
        <f t="shared" si="0"/>
        <v>4</v>
      </c>
      <c r="G5" s="2">
        <f>Scores!L5</f>
        <v>1</v>
      </c>
      <c r="H5" s="2">
        <f>Scores!N5</f>
        <v>1</v>
      </c>
      <c r="I5" s="2">
        <f t="shared" si="1"/>
        <v>1</v>
      </c>
      <c r="J5" s="2">
        <f>Scores!P5+MAX(Scores!Q5,Scores!M5)</f>
        <v>1</v>
      </c>
      <c r="K5" s="2">
        <f>Scores!R5+MAX(Scores!S5,Scores!O5)</f>
        <v>3</v>
      </c>
      <c r="L5" s="2">
        <f t="shared" si="2"/>
        <v>3</v>
      </c>
      <c r="M5" s="2">
        <f>Scores!T5+Scores!V5</f>
        <v>2</v>
      </c>
      <c r="N5" s="2">
        <f>Scores!U5+Scores!V5</f>
        <v>3</v>
      </c>
      <c r="O5" s="2">
        <f t="shared" si="3"/>
        <v>3</v>
      </c>
      <c r="P5" s="5">
        <f>IF(B5=0," ",IF(B5=Extra!$S$2,VLOOKUP(C5,Extra!$R$4:$AD$8,O5+1),IF(B5=Extra!$W$2,VLOOKUP(C5,Extra!$R$4:$AD$8,(O5+5)),IF(B5=Extra!$AA$2,VLOOKUP(C5,Extra!$R$4:$AD$8,(O5+9)),0))))</f>
        <v>8</v>
      </c>
      <c r="Q5" s="5">
        <f>IF(I5=0," ",IF(I5=Extra!$S$10,VLOOKUP(F5,Extra!$R$12:$X$17,L5+1),IF(I5=Extra!$V$10,VLOOKUP(F5,Extra!$R$12:$X$17,(L5+4)),0)))</f>
        <v>5</v>
      </c>
      <c r="T5"/>
      <c r="U5"/>
      <c r="V5"/>
      <c r="W5"/>
    </row>
    <row r="6" spans="1:23" x14ac:dyDescent="0.25">
      <c r="A6" s="106">
        <f>Angles!A6</f>
        <v>4</v>
      </c>
      <c r="B6" s="2">
        <f>IF(A6=0,0,IF(Scores!B6+Scores!C6+Scores!D6=1,1,IF(Scores!B6+Scores!C6+Scores!D6=2,2,IF(Scores!B6+Scores!C6+Scores!D6&gt;=3,3,0))))</f>
        <v>3</v>
      </c>
      <c r="C6" s="2">
        <f>Scores!E6+Scores!F6+Scores!G6</f>
        <v>4</v>
      </c>
      <c r="D6" s="2">
        <f>Scores!H6+Scores!I6</f>
        <v>4</v>
      </c>
      <c r="E6" s="2">
        <f>Scores!J6+Scores!K6</f>
        <v>2</v>
      </c>
      <c r="F6" s="2">
        <f t="shared" si="0"/>
        <v>4</v>
      </c>
      <c r="G6" s="2">
        <f>Scores!L6</f>
        <v>1</v>
      </c>
      <c r="H6" s="2">
        <f>Scores!N6</f>
        <v>1</v>
      </c>
      <c r="I6" s="2">
        <f t="shared" si="1"/>
        <v>1</v>
      </c>
      <c r="J6" s="2">
        <f>Scores!P6+MAX(Scores!Q6,Scores!M6)</f>
        <v>1</v>
      </c>
      <c r="K6" s="2">
        <f>Scores!R6+MAX(Scores!S6,Scores!O6)</f>
        <v>2</v>
      </c>
      <c r="L6" s="2">
        <f t="shared" si="2"/>
        <v>2</v>
      </c>
      <c r="M6" s="2">
        <f>Scores!T6+Scores!V6</f>
        <v>2</v>
      </c>
      <c r="N6" s="2">
        <f>Scores!U6+Scores!V6</f>
        <v>3</v>
      </c>
      <c r="O6" s="2">
        <f t="shared" si="3"/>
        <v>3</v>
      </c>
      <c r="P6" s="5">
        <f>IF(B6=0," ",IF(B6=Extra!$S$2,VLOOKUP(C6,Extra!$R$4:$AD$8,O6+1),IF(B6=Extra!$W$2,VLOOKUP(C6,Extra!$R$4:$AD$8,(O6+5)),IF(B6=Extra!$AA$2,VLOOKUP(C6,Extra!$R$4:$AD$8,(O6+9)),0))))</f>
        <v>8</v>
      </c>
      <c r="Q6" s="5">
        <f>IF(I6=0," ",IF(I6=Extra!$S$10,VLOOKUP(F6,Extra!$R$12:$X$17,L6+1),IF(I6=Extra!$V$10,VLOOKUP(F6,Extra!$R$12:$X$17,(L6+4)),0)))</f>
        <v>5</v>
      </c>
      <c r="T6"/>
      <c r="U6"/>
      <c r="V6"/>
      <c r="W6"/>
    </row>
    <row r="7" spans="1:23" x14ac:dyDescent="0.25">
      <c r="A7" s="106">
        <f>Angles!A7</f>
        <v>5</v>
      </c>
      <c r="B7" s="2">
        <f>IF(A7=0,0,IF(Scores!B7+Scores!C7+Scores!D7=1,1,IF(Scores!B7+Scores!C7+Scores!D7=2,2,IF(Scores!B7+Scores!C7+Scores!D7&gt;=3,3,0))))</f>
        <v>3</v>
      </c>
      <c r="C7" s="2">
        <f>Scores!E7+Scores!F7+Scores!G7</f>
        <v>4</v>
      </c>
      <c r="D7" s="2">
        <f>Scores!H7+Scores!I7</f>
        <v>4</v>
      </c>
      <c r="E7" s="2">
        <f>Scores!J7+Scores!K7</f>
        <v>2</v>
      </c>
      <c r="F7" s="2">
        <f t="shared" si="0"/>
        <v>4</v>
      </c>
      <c r="G7" s="2">
        <f>Scores!L7</f>
        <v>1</v>
      </c>
      <c r="H7" s="2">
        <f>Scores!N7</f>
        <v>1</v>
      </c>
      <c r="I7" s="2">
        <f t="shared" si="1"/>
        <v>1</v>
      </c>
      <c r="J7" s="2">
        <f>Scores!P7+MAX(Scores!Q7,Scores!M7)</f>
        <v>1</v>
      </c>
      <c r="K7" s="2">
        <f>Scores!R7+MAX(Scores!S7,Scores!O7)</f>
        <v>2</v>
      </c>
      <c r="L7" s="2">
        <f t="shared" si="2"/>
        <v>2</v>
      </c>
      <c r="M7" s="2">
        <f>Scores!T7+Scores!V7</f>
        <v>1</v>
      </c>
      <c r="N7" s="2">
        <f>Scores!U7+Scores!V7</f>
        <v>2</v>
      </c>
      <c r="O7" s="2">
        <f t="shared" si="3"/>
        <v>2</v>
      </c>
      <c r="P7" s="5">
        <f>IF(B7=0," ",IF(B7=Extra!$S$2,VLOOKUP(C7,Extra!$R$4:$AD$8,O7+1),IF(B7=Extra!$W$2,VLOOKUP(C7,Extra!$R$4:$AD$8,(O7+5)),IF(B7=Extra!$AA$2,VLOOKUP(C7,Extra!$R$4:$AD$8,(O7+9)),0))))</f>
        <v>7</v>
      </c>
      <c r="Q7" s="5">
        <f>IF(I7=0," ",IF(I7=Extra!$S$10,VLOOKUP(F7,Extra!$R$12:$X$17,L7+1),IF(I7=Extra!$V$10,VLOOKUP(F7,Extra!$R$12:$X$17,(L7+4)),0)))</f>
        <v>5</v>
      </c>
    </row>
    <row r="8" spans="1:23" x14ac:dyDescent="0.25">
      <c r="A8" s="106">
        <f>Angles!A8</f>
        <v>6</v>
      </c>
      <c r="B8" s="2">
        <f>IF(A8=0,0,IF(Scores!B8+Scores!C8+Scores!D8=1,1,IF(Scores!B8+Scores!C8+Scores!D8=2,2,IF(Scores!B8+Scores!C8+Scores!D8&gt;=3,3,0))))</f>
        <v>3</v>
      </c>
      <c r="C8" s="2">
        <f>Scores!E8+Scores!F8+Scores!G8</f>
        <v>2</v>
      </c>
      <c r="D8" s="2">
        <f>Scores!H8+Scores!I8</f>
        <v>1</v>
      </c>
      <c r="E8" s="2">
        <f>Scores!J8+Scores!K8</f>
        <v>2</v>
      </c>
      <c r="F8" s="2">
        <f t="shared" si="0"/>
        <v>2</v>
      </c>
      <c r="G8" s="2">
        <f>Scores!L8</f>
        <v>1</v>
      </c>
      <c r="H8" s="2">
        <f>Scores!N8</f>
        <v>1</v>
      </c>
      <c r="I8" s="2">
        <f t="shared" si="1"/>
        <v>1</v>
      </c>
      <c r="J8" s="2">
        <f>Scores!P8+MAX(Scores!Q8,Scores!M8)</f>
        <v>1</v>
      </c>
      <c r="K8" s="2">
        <f>Scores!R8+MAX(Scores!S8,Scores!O8)</f>
        <v>2</v>
      </c>
      <c r="L8" s="2">
        <f t="shared" si="2"/>
        <v>2</v>
      </c>
      <c r="M8" s="2">
        <f>Scores!T8+Scores!V8</f>
        <v>1</v>
      </c>
      <c r="N8" s="2">
        <f>Scores!U8+Scores!V8</f>
        <v>2</v>
      </c>
      <c r="O8" s="2">
        <f t="shared" si="3"/>
        <v>2</v>
      </c>
      <c r="P8" s="5">
        <f>IF(B8=0," ",IF(B8=Extra!$S$2,VLOOKUP(C8,Extra!$R$4:$AD$8,O8+1),IF(B8=Extra!$W$2,VLOOKUP(C8,Extra!$R$4:$AD$8,(O8+5)),IF(B8=Extra!$AA$2,VLOOKUP(C8,Extra!$R$4:$AD$8,(O8+9)),0))))</f>
        <v>5</v>
      </c>
      <c r="Q8" s="5">
        <f>IF(I8=0," ",IF(I8=Extra!$S$10,VLOOKUP(F8,Extra!$R$12:$X$17,L8+1),IF(I8=Extra!$V$10,VLOOKUP(F8,Extra!$R$12:$X$17,(L8+4)),0)))</f>
        <v>2</v>
      </c>
    </row>
    <row r="9" spans="1:23" x14ac:dyDescent="0.25">
      <c r="A9" s="106">
        <f>Angles!A9</f>
        <v>7</v>
      </c>
      <c r="B9" s="2">
        <f>IF(A9=0,0,IF(Scores!B9+Scores!C9+Scores!D9=1,1,IF(Scores!B9+Scores!C9+Scores!D9=2,2,IF(Scores!B9+Scores!C9+Scores!D9&gt;=3,3,0))))</f>
        <v>3</v>
      </c>
      <c r="C9" s="2">
        <f>Scores!E9+Scores!F9+Scores!G9</f>
        <v>2</v>
      </c>
      <c r="D9" s="2">
        <f>Scores!H9+Scores!I9</f>
        <v>1</v>
      </c>
      <c r="E9" s="2">
        <f>Scores!J9+Scores!K9</f>
        <v>2</v>
      </c>
      <c r="F9" s="2">
        <f t="shared" si="0"/>
        <v>2</v>
      </c>
      <c r="G9" s="2">
        <f>Scores!L9</f>
        <v>1</v>
      </c>
      <c r="H9" s="2">
        <f>Scores!N9</f>
        <v>1</v>
      </c>
      <c r="I9" s="2">
        <f t="shared" si="1"/>
        <v>1</v>
      </c>
      <c r="J9" s="2">
        <f>Scores!P9+MAX(Scores!Q9,Scores!M9)</f>
        <v>1</v>
      </c>
      <c r="K9" s="2">
        <f>Scores!R9+MAX(Scores!S9,Scores!O9)</f>
        <v>2</v>
      </c>
      <c r="L9" s="2">
        <f t="shared" si="2"/>
        <v>2</v>
      </c>
      <c r="M9" s="2">
        <f>Scores!T9+Scores!V9</f>
        <v>1</v>
      </c>
      <c r="N9" s="2">
        <f>Scores!U9+Scores!V9</f>
        <v>2</v>
      </c>
      <c r="O9" s="2">
        <f t="shared" si="3"/>
        <v>2</v>
      </c>
      <c r="P9" s="5">
        <f>IF(B9=0," ",IF(B9=Extra!$S$2,VLOOKUP(C9,Extra!$R$4:$AD$8,O9+1),IF(B9=Extra!$W$2,VLOOKUP(C9,Extra!$R$4:$AD$8,(O9+5)),IF(B9=Extra!$AA$2,VLOOKUP(C9,Extra!$R$4:$AD$8,(O9+9)),0))))</f>
        <v>5</v>
      </c>
      <c r="Q9" s="5">
        <f>IF(I9=0," ",IF(I9=Extra!$S$10,VLOOKUP(F9,Extra!$R$12:$X$17,L9+1),IF(I9=Extra!$V$10,VLOOKUP(F9,Extra!$R$12:$X$17,(L9+4)),0)))</f>
        <v>2</v>
      </c>
    </row>
    <row r="10" spans="1:23" x14ac:dyDescent="0.25">
      <c r="A10" s="106">
        <f>Angles!A10</f>
        <v>8</v>
      </c>
      <c r="B10" s="2">
        <f>IF(A10=0,0,IF(Scores!B10+Scores!C10+Scores!D10=1,1,IF(Scores!B10+Scores!C10+Scores!D10=2,2,IF(Scores!B10+Scores!C10+Scores!D10&gt;=3,3,0))))</f>
        <v>3</v>
      </c>
      <c r="C10" s="2">
        <f>Scores!E10+Scores!F10+Scores!G10</f>
        <v>2</v>
      </c>
      <c r="D10" s="2">
        <f>Scores!H10+Scores!I10</f>
        <v>1</v>
      </c>
      <c r="E10" s="2">
        <f>Scores!J10+Scores!K10</f>
        <v>2</v>
      </c>
      <c r="F10" s="2">
        <f t="shared" si="0"/>
        <v>2</v>
      </c>
      <c r="G10" s="2">
        <f>Scores!L10</f>
        <v>1</v>
      </c>
      <c r="H10" s="2">
        <f>Scores!N10</f>
        <v>1</v>
      </c>
      <c r="I10" s="2">
        <f t="shared" si="1"/>
        <v>1</v>
      </c>
      <c r="J10" s="2">
        <f>Scores!P10+MAX(Scores!Q10,Scores!M10)</f>
        <v>1</v>
      </c>
      <c r="K10" s="2">
        <f>Scores!R10+MAX(Scores!S10,Scores!O10)</f>
        <v>2</v>
      </c>
      <c r="L10" s="2">
        <f t="shared" si="2"/>
        <v>2</v>
      </c>
      <c r="M10" s="2">
        <f>Scores!T10+Scores!V10</f>
        <v>1</v>
      </c>
      <c r="N10" s="2">
        <f>Scores!U10+Scores!V10</f>
        <v>2</v>
      </c>
      <c r="O10" s="2">
        <f t="shared" si="3"/>
        <v>2</v>
      </c>
      <c r="P10" s="5">
        <f>IF(B10=0," ",IF(B10=Extra!$S$2,VLOOKUP(C10,Extra!$R$4:$AD$8,O10+1),IF(B10=Extra!$W$2,VLOOKUP(C10,Extra!$R$4:$AD$8,(O10+5)),IF(B10=Extra!$AA$2,VLOOKUP(C10,Extra!$R$4:$AD$8,(O10+9)),0))))</f>
        <v>5</v>
      </c>
      <c r="Q10" s="5">
        <f>IF(I10=0," ",IF(I10=Extra!$S$10,VLOOKUP(F10,Extra!$R$12:$X$17,L10+1),IF(I10=Extra!$V$10,VLOOKUP(F10,Extra!$R$12:$X$17,(L10+4)),0)))</f>
        <v>2</v>
      </c>
    </row>
    <row r="11" spans="1:23" x14ac:dyDescent="0.25">
      <c r="A11" s="106">
        <f>Angles!A11</f>
        <v>9</v>
      </c>
      <c r="B11" s="2">
        <f>IF(A11=0,0,IF(Scores!B11+Scores!C11+Scores!D11=1,1,IF(Scores!B11+Scores!C11+Scores!D11=2,2,IF(Scores!B11+Scores!C11+Scores!D11&gt;=3,3,0))))</f>
        <v>3</v>
      </c>
      <c r="C11" s="2">
        <f>Scores!E11+Scores!F11+Scores!G11</f>
        <v>2</v>
      </c>
      <c r="D11" s="2">
        <f>Scores!H11+Scores!I11</f>
        <v>1</v>
      </c>
      <c r="E11" s="2">
        <f>Scores!J11+Scores!K11</f>
        <v>2</v>
      </c>
      <c r="F11" s="2">
        <f t="shared" si="0"/>
        <v>2</v>
      </c>
      <c r="G11" s="2">
        <f>Scores!L11</f>
        <v>1</v>
      </c>
      <c r="H11" s="2">
        <f>Scores!N11</f>
        <v>1</v>
      </c>
      <c r="I11" s="2">
        <f t="shared" si="1"/>
        <v>1</v>
      </c>
      <c r="J11" s="2">
        <f>Scores!P11+MAX(Scores!Q11,Scores!M11)</f>
        <v>1</v>
      </c>
      <c r="K11" s="2">
        <f>Scores!R11+MAX(Scores!S11,Scores!O11)</f>
        <v>2</v>
      </c>
      <c r="L11" s="2">
        <f t="shared" si="2"/>
        <v>2</v>
      </c>
      <c r="M11" s="2">
        <f>Scores!T11+Scores!V11</f>
        <v>1</v>
      </c>
      <c r="N11" s="2">
        <f>Scores!U11+Scores!V11</f>
        <v>2</v>
      </c>
      <c r="O11" s="2">
        <f t="shared" si="3"/>
        <v>2</v>
      </c>
      <c r="P11" s="5">
        <f>IF(B11=0," ",IF(B11=Extra!$S$2,VLOOKUP(C11,Extra!$R$4:$AD$8,O11+1),IF(B11=Extra!$W$2,VLOOKUP(C11,Extra!$R$4:$AD$8,(O11+5)),IF(B11=Extra!$AA$2,VLOOKUP(C11,Extra!$R$4:$AD$8,(O11+9)),0))))</f>
        <v>5</v>
      </c>
      <c r="Q11" s="5">
        <f>IF(I11=0," ",IF(I11=Extra!$S$10,VLOOKUP(F11,Extra!$R$12:$X$17,L11+1),IF(I11=Extra!$V$10,VLOOKUP(F11,Extra!$R$12:$X$17,(L11+4)),0)))</f>
        <v>2</v>
      </c>
    </row>
    <row r="12" spans="1:23" x14ac:dyDescent="0.25">
      <c r="A12" s="106">
        <f>Angles!A12</f>
        <v>10</v>
      </c>
      <c r="B12" s="2">
        <f>IF(A12=0,0,IF(Scores!B12+Scores!C12+Scores!D12=1,1,IF(Scores!B12+Scores!C12+Scores!D12=2,2,IF(Scores!B12+Scores!C12+Scores!D12&gt;=3,3,0))))</f>
        <v>3</v>
      </c>
      <c r="C12" s="2">
        <f>Scores!E12+Scores!F12+Scores!G12</f>
        <v>1</v>
      </c>
      <c r="D12" s="2">
        <f>Scores!H12+Scores!I12</f>
        <v>1</v>
      </c>
      <c r="E12" s="2">
        <f>Scores!J12+Scores!K12</f>
        <v>2</v>
      </c>
      <c r="F12" s="2">
        <f t="shared" si="0"/>
        <v>2</v>
      </c>
      <c r="G12" s="2">
        <f>Scores!L12</f>
        <v>1</v>
      </c>
      <c r="H12" s="2">
        <f>Scores!N12</f>
        <v>1</v>
      </c>
      <c r="I12" s="2">
        <f t="shared" si="1"/>
        <v>1</v>
      </c>
      <c r="J12" s="2">
        <f>Scores!P12+MAX(Scores!Q12,Scores!M12)</f>
        <v>1</v>
      </c>
      <c r="K12" s="2">
        <f>Scores!R12+MAX(Scores!S12,Scores!O12)</f>
        <v>2</v>
      </c>
      <c r="L12" s="2">
        <f t="shared" si="2"/>
        <v>2</v>
      </c>
      <c r="M12" s="2">
        <f>Scores!T12+Scores!V12</f>
        <v>1</v>
      </c>
      <c r="N12" s="2">
        <f>Scores!U12+Scores!V12</f>
        <v>2</v>
      </c>
      <c r="O12" s="2">
        <f t="shared" si="3"/>
        <v>2</v>
      </c>
      <c r="P12" s="5">
        <f>IF(B12=0," ",IF(B12=Extra!$S$2,VLOOKUP(C12,Extra!$R$4:$AD$8,O12+1),IF(B12=Extra!$W$2,VLOOKUP(C12,Extra!$R$4:$AD$8,(O12+5)),IF(B12=Extra!$AA$2,VLOOKUP(C12,Extra!$R$4:$AD$8,(O12+9)),0))))</f>
        <v>3</v>
      </c>
      <c r="Q12" s="5">
        <f>IF(I12=0," ",IF(I12=Extra!$S$10,VLOOKUP(F12,Extra!$R$12:$X$17,L12+1),IF(I12=Extra!$V$10,VLOOKUP(F12,Extra!$R$12:$X$17,(L12+4)),0)))</f>
        <v>2</v>
      </c>
    </row>
    <row r="13" spans="1:23" x14ac:dyDescent="0.25">
      <c r="A13" s="106">
        <f>Angles!A13</f>
        <v>11</v>
      </c>
      <c r="B13" s="2">
        <f>IF(A13=0,0,IF(Scores!B13+Scores!C13+Scores!D13=1,1,IF(Scores!B13+Scores!C13+Scores!D13=2,2,IF(Scores!B13+Scores!C13+Scores!D13&gt;=3,3,0))))</f>
        <v>3</v>
      </c>
      <c r="C13" s="2">
        <f>Scores!E13+Scores!F13+Scores!G13</f>
        <v>1</v>
      </c>
      <c r="D13" s="2">
        <f>Scores!H13+Scores!I13</f>
        <v>1</v>
      </c>
      <c r="E13" s="2">
        <f>Scores!J13+Scores!K13</f>
        <v>2</v>
      </c>
      <c r="F13" s="2">
        <f t="shared" si="0"/>
        <v>2</v>
      </c>
      <c r="G13" s="2">
        <f>Scores!L13</f>
        <v>1</v>
      </c>
      <c r="H13" s="2">
        <f>Scores!N13</f>
        <v>1</v>
      </c>
      <c r="I13" s="2">
        <f t="shared" si="1"/>
        <v>1</v>
      </c>
      <c r="J13" s="2">
        <f>Scores!P13+MAX(Scores!Q13,Scores!M13)</f>
        <v>1</v>
      </c>
      <c r="K13" s="2">
        <f>Scores!R13+MAX(Scores!S13,Scores!O13)</f>
        <v>2</v>
      </c>
      <c r="L13" s="2">
        <f t="shared" si="2"/>
        <v>2</v>
      </c>
      <c r="M13" s="2">
        <f>Scores!T13+Scores!V13</f>
        <v>1</v>
      </c>
      <c r="N13" s="2">
        <f>Scores!U13+Scores!V13</f>
        <v>2</v>
      </c>
      <c r="O13" s="2">
        <f t="shared" si="3"/>
        <v>2</v>
      </c>
      <c r="P13" s="5">
        <f>IF(B13=0," ",IF(B13=Extra!$S$2,VLOOKUP(C13,Extra!$R$4:$AD$8,O13+1),IF(B13=Extra!$W$2,VLOOKUP(C13,Extra!$R$4:$AD$8,(O13+5)),IF(B13=Extra!$AA$2,VLOOKUP(C13,Extra!$R$4:$AD$8,(O13+9)),0))))</f>
        <v>3</v>
      </c>
      <c r="Q13" s="5">
        <f>IF(I13=0," ",IF(I13=Extra!$S$10,VLOOKUP(F13,Extra!$R$12:$X$17,L13+1),IF(I13=Extra!$V$10,VLOOKUP(F13,Extra!$R$12:$X$17,(L13+4)),0)))</f>
        <v>2</v>
      </c>
    </row>
    <row r="14" spans="1:23" x14ac:dyDescent="0.25">
      <c r="A14" s="106">
        <f>Angles!A14</f>
        <v>12</v>
      </c>
      <c r="B14" s="2">
        <f>IF(A14=0,0,IF(Scores!B14+Scores!C14+Scores!D14=1,1,IF(Scores!B14+Scores!C14+Scores!D14=2,2,IF(Scores!B14+Scores!C14+Scores!D14&gt;=3,3,0))))</f>
        <v>1</v>
      </c>
      <c r="C14" s="2">
        <f>Scores!E14+Scores!F14+Scores!G14</f>
        <v>1</v>
      </c>
      <c r="D14" s="2">
        <f>Scores!H14+Scores!I14</f>
        <v>1</v>
      </c>
      <c r="E14" s="2">
        <f>Scores!J14+Scores!K14</f>
        <v>2</v>
      </c>
      <c r="F14" s="2">
        <f t="shared" si="0"/>
        <v>2</v>
      </c>
      <c r="G14" s="2">
        <f>Scores!L14</f>
        <v>1</v>
      </c>
      <c r="H14" s="2">
        <f>Scores!N14</f>
        <v>1</v>
      </c>
      <c r="I14" s="2">
        <f t="shared" si="1"/>
        <v>1</v>
      </c>
      <c r="J14" s="2">
        <f>Scores!P14+MAX(Scores!Q14,Scores!M14)</f>
        <v>1</v>
      </c>
      <c r="K14" s="2">
        <f>Scores!R14+MAX(Scores!S14,Scores!O14)</f>
        <v>1</v>
      </c>
      <c r="L14" s="2">
        <f t="shared" si="2"/>
        <v>1</v>
      </c>
      <c r="M14" s="2">
        <f>Scores!T14+Scores!V14</f>
        <v>1</v>
      </c>
      <c r="N14" s="2">
        <f>Scores!U14+Scores!V14</f>
        <v>2</v>
      </c>
      <c r="O14" s="2">
        <f t="shared" si="3"/>
        <v>2</v>
      </c>
      <c r="P14" s="5">
        <f>IF(B14=0," ",IF(B14=Extra!$S$2,VLOOKUP(C14,Extra!$R$4:$AD$8,O14+1),IF(B14=Extra!$W$2,VLOOKUP(C14,Extra!$R$4:$AD$8,(O14+5)),IF(B14=Extra!$AA$2,VLOOKUP(C14,Extra!$R$4:$AD$8,(O14+9)),0))))</f>
        <v>2</v>
      </c>
      <c r="Q14" s="5">
        <f>IF(I14=0," ",IF(I14=Extra!$S$10,VLOOKUP(F14,Extra!$R$12:$X$17,L14+1),IF(I14=Extra!$V$10,VLOOKUP(F14,Extra!$R$12:$X$17,(L14+4)),0)))</f>
        <v>1</v>
      </c>
    </row>
    <row r="15" spans="1:23" x14ac:dyDescent="0.25">
      <c r="A15" s="106">
        <f>Angles!A15</f>
        <v>13</v>
      </c>
      <c r="B15" s="2">
        <f>IF(A15=0,0,IF(Scores!B15+Scores!C15+Scores!D15=1,1,IF(Scores!B15+Scores!C15+Scores!D15=2,2,IF(Scores!B15+Scores!C15+Scores!D15&gt;=3,3,0))))</f>
        <v>1</v>
      </c>
      <c r="C15" s="2">
        <f>Scores!E15+Scores!F15+Scores!G15</f>
        <v>1</v>
      </c>
      <c r="D15" s="2">
        <f>Scores!H15+Scores!I15</f>
        <v>1</v>
      </c>
      <c r="E15" s="2">
        <f>Scores!J15+Scores!K15</f>
        <v>2</v>
      </c>
      <c r="F15" s="2">
        <f t="shared" si="0"/>
        <v>2</v>
      </c>
      <c r="G15" s="2">
        <f>Scores!L15</f>
        <v>1</v>
      </c>
      <c r="H15" s="2">
        <f>Scores!N15</f>
        <v>1</v>
      </c>
      <c r="I15" s="2">
        <f t="shared" si="1"/>
        <v>1</v>
      </c>
      <c r="J15" s="2">
        <f>Scores!P15+MAX(Scores!Q15,Scores!M15)</f>
        <v>1</v>
      </c>
      <c r="K15" s="2">
        <f>Scores!R15+MAX(Scores!S15,Scores!O15)</f>
        <v>1</v>
      </c>
      <c r="L15" s="2">
        <f t="shared" si="2"/>
        <v>1</v>
      </c>
      <c r="M15" s="2">
        <f>Scores!T15+Scores!V15</f>
        <v>1</v>
      </c>
      <c r="N15" s="2">
        <f>Scores!U15+Scores!V15</f>
        <v>2</v>
      </c>
      <c r="O15" s="2">
        <f t="shared" si="3"/>
        <v>2</v>
      </c>
      <c r="P15" s="5">
        <f>IF(B15=0," ",IF(B15=Extra!$S$2,VLOOKUP(C15,Extra!$R$4:$AD$8,O15+1),IF(B15=Extra!$W$2,VLOOKUP(C15,Extra!$R$4:$AD$8,(O15+5)),IF(B15=Extra!$AA$2,VLOOKUP(C15,Extra!$R$4:$AD$8,(O15+9)),0))))</f>
        <v>2</v>
      </c>
      <c r="Q15" s="5">
        <f>IF(I15=0," ",IF(I15=Extra!$S$10,VLOOKUP(F15,Extra!$R$12:$X$17,L15+1),IF(I15=Extra!$V$10,VLOOKUP(F15,Extra!$R$12:$X$17,(L15+4)),0)))</f>
        <v>1</v>
      </c>
    </row>
    <row r="16" spans="1:23" x14ac:dyDescent="0.25">
      <c r="A16" s="106">
        <f>Angles!A16</f>
        <v>14</v>
      </c>
      <c r="B16" s="2">
        <f>IF(A16=0,0,IF(Scores!B16+Scores!C16+Scores!D16=1,1,IF(Scores!B16+Scores!C16+Scores!D16=2,2,IF(Scores!B16+Scores!C16+Scores!D16&gt;=3,3,0))))</f>
        <v>1</v>
      </c>
      <c r="C16" s="2">
        <f>Scores!E16+Scores!F16+Scores!G16</f>
        <v>1</v>
      </c>
      <c r="D16" s="2">
        <f>Scores!H16+Scores!I16</f>
        <v>1</v>
      </c>
      <c r="E16" s="2">
        <f>Scores!J16+Scores!K16</f>
        <v>2</v>
      </c>
      <c r="F16" s="2">
        <f t="shared" si="0"/>
        <v>2</v>
      </c>
      <c r="G16" s="2">
        <f>Scores!L16</f>
        <v>1</v>
      </c>
      <c r="H16" s="2">
        <f>Scores!N16</f>
        <v>1</v>
      </c>
      <c r="I16" s="2">
        <f t="shared" si="1"/>
        <v>1</v>
      </c>
      <c r="J16" s="2">
        <f>Scores!P16+MAX(Scores!Q16,Scores!M16)</f>
        <v>1</v>
      </c>
      <c r="K16" s="2">
        <f>Scores!R16+MAX(Scores!S16,Scores!O16)</f>
        <v>1</v>
      </c>
      <c r="L16" s="2">
        <f t="shared" si="2"/>
        <v>1</v>
      </c>
      <c r="M16" s="2">
        <f>Scores!T16+Scores!V16</f>
        <v>1</v>
      </c>
      <c r="N16" s="2">
        <f>Scores!U16+Scores!V16</f>
        <v>2</v>
      </c>
      <c r="O16" s="2">
        <f t="shared" si="3"/>
        <v>2</v>
      </c>
      <c r="P16" s="5">
        <f>IF(B16=0," ",IF(B16=Extra!$S$2,VLOOKUP(C16,Extra!$R$4:$AD$8,O16+1),IF(B16=Extra!$W$2,VLOOKUP(C16,Extra!$R$4:$AD$8,(O16+5)),IF(B16=Extra!$AA$2,VLOOKUP(C16,Extra!$R$4:$AD$8,(O16+9)),0))))</f>
        <v>2</v>
      </c>
      <c r="Q16" s="5">
        <f>IF(I16=0," ",IF(I16=Extra!$S$10,VLOOKUP(F16,Extra!$R$12:$X$17,L16+1),IF(I16=Extra!$V$10,VLOOKUP(F16,Extra!$R$12:$X$17,(L16+4)),0)))</f>
        <v>1</v>
      </c>
    </row>
    <row r="17" spans="1:31" x14ac:dyDescent="0.25">
      <c r="A17" s="106">
        <f>Angles!A17</f>
        <v>15</v>
      </c>
      <c r="B17" s="2">
        <f>IF(A17=0,0,IF(Scores!B17+Scores!C17+Scores!D17=1,1,IF(Scores!B17+Scores!C17+Scores!D17=2,2,IF(Scores!B17+Scores!C17+Scores!D17&gt;=3,3,0))))</f>
        <v>1</v>
      </c>
      <c r="C17" s="2">
        <f>Scores!E17+Scores!F17+Scores!G17</f>
        <v>1</v>
      </c>
      <c r="D17" s="2">
        <f>Scores!H17+Scores!I17</f>
        <v>1</v>
      </c>
      <c r="E17" s="2">
        <f>Scores!J17+Scores!K17</f>
        <v>2</v>
      </c>
      <c r="F17" s="2">
        <f t="shared" si="0"/>
        <v>2</v>
      </c>
      <c r="G17" s="2">
        <f>Scores!L17</f>
        <v>1</v>
      </c>
      <c r="H17" s="2">
        <f>Scores!N17</f>
        <v>1</v>
      </c>
      <c r="I17" s="2">
        <f t="shared" si="1"/>
        <v>1</v>
      </c>
      <c r="J17" s="2">
        <f>Scores!P17+MAX(Scores!Q17,Scores!M17)</f>
        <v>1</v>
      </c>
      <c r="K17" s="2">
        <f>Scores!R17+MAX(Scores!S17,Scores!O17)</f>
        <v>1</v>
      </c>
      <c r="L17" s="2">
        <f t="shared" si="2"/>
        <v>1</v>
      </c>
      <c r="M17" s="2">
        <f>Scores!T17+Scores!V17</f>
        <v>1</v>
      </c>
      <c r="N17" s="2">
        <f>Scores!U17+Scores!V17</f>
        <v>2</v>
      </c>
      <c r="O17" s="2">
        <f t="shared" si="3"/>
        <v>2</v>
      </c>
      <c r="P17" s="5">
        <f>IF(B17=0," ",IF(B17=Extra!$S$2,VLOOKUP(C17,Extra!$R$4:$AD$8,O17+1),IF(B17=Extra!$W$2,VLOOKUP(C17,Extra!$R$4:$AD$8,(O17+5)),IF(B17=Extra!$AA$2,VLOOKUP(C17,Extra!$R$4:$AD$8,(O17+9)),0))))</f>
        <v>2</v>
      </c>
      <c r="Q17" s="5">
        <f>IF(I17=0," ",IF(I17=Extra!$S$10,VLOOKUP(F17,Extra!$R$12:$X$17,L17+1),IF(I17=Extra!$V$10,VLOOKUP(F17,Extra!$R$12:$X$17,(L17+4)),0)))</f>
        <v>1</v>
      </c>
    </row>
    <row r="18" spans="1:31" x14ac:dyDescent="0.25">
      <c r="A18" s="106">
        <f>Angles!A18</f>
        <v>16</v>
      </c>
      <c r="B18" s="2">
        <f>IF(A18=0,0,IF(Scores!B18+Scores!C18+Scores!D18=1,1,IF(Scores!B18+Scores!C18+Scores!D18=2,2,IF(Scores!B18+Scores!C18+Scores!D18&gt;=3,3,0))))</f>
        <v>1</v>
      </c>
      <c r="C18" s="2">
        <f>Scores!E18+Scores!F18+Scores!G18</f>
        <v>1</v>
      </c>
      <c r="D18" s="2">
        <f>Scores!H18+Scores!I18</f>
        <v>1</v>
      </c>
      <c r="E18" s="2">
        <f>Scores!J18+Scores!K18</f>
        <v>2</v>
      </c>
      <c r="F18" s="2">
        <f t="shared" si="0"/>
        <v>2</v>
      </c>
      <c r="G18" s="2">
        <f>Scores!L18</f>
        <v>1</v>
      </c>
      <c r="H18" s="2">
        <f>Scores!N18</f>
        <v>1</v>
      </c>
      <c r="I18" s="2">
        <f t="shared" si="1"/>
        <v>1</v>
      </c>
      <c r="J18" s="2">
        <f>Scores!P18+MAX(Scores!Q18,Scores!M18)</f>
        <v>1</v>
      </c>
      <c r="K18" s="2">
        <f>Scores!R18+MAX(Scores!S18,Scores!O18)</f>
        <v>1</v>
      </c>
      <c r="L18" s="2">
        <f t="shared" si="2"/>
        <v>1</v>
      </c>
      <c r="M18" s="2">
        <f>Scores!T18+Scores!V18</f>
        <v>1</v>
      </c>
      <c r="N18" s="2">
        <f>Scores!U18+Scores!V18</f>
        <v>2</v>
      </c>
      <c r="O18" s="2">
        <f t="shared" si="3"/>
        <v>2</v>
      </c>
      <c r="P18" s="5">
        <f>IF(B18=0," ",IF(B18=Extra!$S$2,VLOOKUP(C18,Extra!$R$4:$AD$8,O18+1),IF(B18=Extra!$W$2,VLOOKUP(C18,Extra!$R$4:$AD$8,(O18+5)),IF(B18=Extra!$AA$2,VLOOKUP(C18,Extra!$R$4:$AD$8,(O18+9)),0))))</f>
        <v>2</v>
      </c>
      <c r="Q18" s="5">
        <f>IF(I18=0," ",IF(I18=Extra!$S$10,VLOOKUP(F18,Extra!$R$12:$X$17,L18+1),IF(I18=Extra!$V$10,VLOOKUP(F18,Extra!$R$12:$X$17,(L18+4)),0)))</f>
        <v>1</v>
      </c>
    </row>
    <row r="19" spans="1:31" x14ac:dyDescent="0.25">
      <c r="A19" s="106">
        <f>Angles!A19</f>
        <v>17</v>
      </c>
      <c r="B19" s="2">
        <f>IF(A19=0,0,IF(Scores!B19+Scores!C19+Scores!D19=1,1,IF(Scores!B19+Scores!C19+Scores!D19=2,2,IF(Scores!B19+Scores!C19+Scores!D19&gt;=3,3,0))))</f>
        <v>1</v>
      </c>
      <c r="C19" s="2">
        <f>Scores!E19+Scores!F19+Scores!G19</f>
        <v>1</v>
      </c>
      <c r="D19" s="2">
        <f>Scores!H19+Scores!I19</f>
        <v>1</v>
      </c>
      <c r="E19" s="2">
        <f>Scores!J19+Scores!K19</f>
        <v>2</v>
      </c>
      <c r="F19" s="2">
        <f t="shared" si="0"/>
        <v>2</v>
      </c>
      <c r="G19" s="2">
        <f>Scores!L19</f>
        <v>1</v>
      </c>
      <c r="H19" s="2">
        <f>Scores!N19</f>
        <v>1</v>
      </c>
      <c r="I19" s="2">
        <f t="shared" si="1"/>
        <v>1</v>
      </c>
      <c r="J19" s="2">
        <f>Scores!P19+MAX(Scores!Q19,Scores!M19)</f>
        <v>2</v>
      </c>
      <c r="K19" s="2">
        <f>Scores!R19+MAX(Scores!S19,Scores!O19)</f>
        <v>1</v>
      </c>
      <c r="L19" s="2">
        <f t="shared" si="2"/>
        <v>2</v>
      </c>
      <c r="M19" s="2">
        <f>Scores!T19+Scores!V19</f>
        <v>2</v>
      </c>
      <c r="N19" s="2">
        <f>Scores!U19+Scores!V19</f>
        <v>3</v>
      </c>
      <c r="O19" s="2">
        <f t="shared" si="3"/>
        <v>3</v>
      </c>
      <c r="P19" s="5">
        <f>IF(B19=0," ",IF(B19=Extra!$S$2,VLOOKUP(C19,Extra!$R$4:$AD$8,O19+1),IF(B19=Extra!$W$2,VLOOKUP(C19,Extra!$R$4:$AD$8,(O19+5)),IF(B19=Extra!$AA$2,VLOOKUP(C19,Extra!$R$4:$AD$8,(O19+9)),0))))</f>
        <v>3</v>
      </c>
      <c r="Q19" s="5">
        <f>IF(I19=0," ",IF(I19=Extra!$S$10,VLOOKUP(F19,Extra!$R$12:$X$17,L19+1),IF(I19=Extra!$V$10,VLOOKUP(F19,Extra!$R$12:$X$17,(L19+4)),0)))</f>
        <v>2</v>
      </c>
    </row>
    <row r="20" spans="1:31" x14ac:dyDescent="0.25">
      <c r="A20" s="106">
        <f>Angles!A20</f>
        <v>18</v>
      </c>
      <c r="B20" s="2">
        <f>IF(A20=0,0,IF(Scores!B20+Scores!C20+Scores!D20=1,1,IF(Scores!B20+Scores!C20+Scores!D20=2,2,IF(Scores!B20+Scores!C20+Scores!D20&gt;=3,3,0))))</f>
        <v>1</v>
      </c>
      <c r="C20" s="2">
        <f>Scores!E20+Scores!F20+Scores!G20</f>
        <v>1</v>
      </c>
      <c r="D20" s="2">
        <f>Scores!H20+Scores!I20</f>
        <v>1</v>
      </c>
      <c r="E20" s="2">
        <f>Scores!J20+Scores!K20</f>
        <v>2</v>
      </c>
      <c r="F20" s="2">
        <f t="shared" si="0"/>
        <v>2</v>
      </c>
      <c r="G20" s="2">
        <f>Scores!L20</f>
        <v>1</v>
      </c>
      <c r="H20" s="2">
        <f>Scores!N20</f>
        <v>1</v>
      </c>
      <c r="I20" s="2">
        <f t="shared" si="1"/>
        <v>1</v>
      </c>
      <c r="J20" s="2">
        <f>Scores!P20+MAX(Scores!Q20,Scores!M20)</f>
        <v>2</v>
      </c>
      <c r="K20" s="2">
        <f>Scores!R20+MAX(Scores!S20,Scores!O20)</f>
        <v>1</v>
      </c>
      <c r="L20" s="2">
        <f t="shared" si="2"/>
        <v>2</v>
      </c>
      <c r="M20" s="2">
        <f>Scores!T20+Scores!V20</f>
        <v>2</v>
      </c>
      <c r="N20" s="2">
        <f>Scores!U20+Scores!V20</f>
        <v>4</v>
      </c>
      <c r="O20" s="2">
        <f t="shared" si="3"/>
        <v>4</v>
      </c>
      <c r="P20" s="5">
        <f>IF(B20=0," ",IF(B20=Extra!$S$2,VLOOKUP(C20,Extra!$R$4:$AD$8,O20+1),IF(B20=Extra!$W$2,VLOOKUP(C20,Extra!$R$4:$AD$8,(O20+5)),IF(B20=Extra!$AA$2,VLOOKUP(C20,Extra!$R$4:$AD$8,(O20+9)),0))))</f>
        <v>4</v>
      </c>
      <c r="Q20" s="5">
        <f>IF(I20=0," ",IF(I20=Extra!$S$10,VLOOKUP(F20,Extra!$R$12:$X$17,L20+1),IF(I20=Extra!$V$10,VLOOKUP(F20,Extra!$R$12:$X$17,(L20+4)),0)))</f>
        <v>2</v>
      </c>
    </row>
    <row r="21" spans="1:31" x14ac:dyDescent="0.25">
      <c r="A21" s="106">
        <f>Angles!A21</f>
        <v>19</v>
      </c>
      <c r="B21" s="2">
        <f>IF(A21=0,0,IF(Scores!B21+Scores!C21+Scores!D21=1,1,IF(Scores!B21+Scores!C21+Scores!D21=2,2,IF(Scores!B21+Scores!C21+Scores!D21&gt;=3,3,0))))</f>
        <v>1</v>
      </c>
      <c r="C21" s="2">
        <f>Scores!E21+Scores!F21+Scores!G21</f>
        <v>1</v>
      </c>
      <c r="D21" s="2">
        <f>Scores!H21+Scores!I21</f>
        <v>1</v>
      </c>
      <c r="E21" s="2">
        <f>Scores!J21+Scores!K21</f>
        <v>2</v>
      </c>
      <c r="F21" s="2">
        <f t="shared" si="0"/>
        <v>2</v>
      </c>
      <c r="G21" s="2">
        <f>Scores!L21</f>
        <v>1</v>
      </c>
      <c r="H21" s="2">
        <f>Scores!N21</f>
        <v>1</v>
      </c>
      <c r="I21" s="2">
        <f t="shared" si="1"/>
        <v>1</v>
      </c>
      <c r="J21" s="2">
        <f>Scores!P21+MAX(Scores!Q21,Scores!M21)</f>
        <v>1</v>
      </c>
      <c r="K21" s="2">
        <f>Scores!R21+MAX(Scores!S21,Scores!O21)</f>
        <v>1</v>
      </c>
      <c r="L21" s="2">
        <f t="shared" si="2"/>
        <v>1</v>
      </c>
      <c r="M21" s="2">
        <f>Scores!T21+Scores!V21</f>
        <v>2</v>
      </c>
      <c r="N21" s="2">
        <f>Scores!U21+Scores!V21</f>
        <v>4</v>
      </c>
      <c r="O21" s="2">
        <f t="shared" si="3"/>
        <v>4</v>
      </c>
      <c r="P21" s="5">
        <f>IF(B21=0," ",IF(B21=Extra!$S$2,VLOOKUP(C21,Extra!$R$4:$AD$8,O21+1),IF(B21=Extra!$W$2,VLOOKUP(C21,Extra!$R$4:$AD$8,(O21+5)),IF(B21=Extra!$AA$2,VLOOKUP(C21,Extra!$R$4:$AD$8,(O21+9)),0))))</f>
        <v>4</v>
      </c>
      <c r="Q21" s="5">
        <f>IF(I21=0," ",IF(I21=Extra!$S$10,VLOOKUP(F21,Extra!$R$12:$X$17,L21+1),IF(I21=Extra!$V$10,VLOOKUP(F21,Extra!$R$12:$X$17,(L21+4)),0)))</f>
        <v>1</v>
      </c>
    </row>
    <row r="22" spans="1:31" x14ac:dyDescent="0.25">
      <c r="A22" s="106">
        <f>Angles!A22</f>
        <v>20</v>
      </c>
      <c r="B22" s="2">
        <f>IF(A22=0,0,IF(Scores!B22+Scores!C22+Scores!D22=1,1,IF(Scores!B22+Scores!C22+Scores!D22=2,2,IF(Scores!B22+Scores!C22+Scores!D22&gt;=3,3,0))))</f>
        <v>1</v>
      </c>
      <c r="C22" s="2">
        <f>Scores!E22+Scores!F22+Scores!G22</f>
        <v>1</v>
      </c>
      <c r="D22" s="2">
        <f>Scores!H22+Scores!I22</f>
        <v>1</v>
      </c>
      <c r="E22" s="2">
        <f>Scores!J22+Scores!K22</f>
        <v>2</v>
      </c>
      <c r="F22" s="2">
        <f t="shared" si="0"/>
        <v>2</v>
      </c>
      <c r="G22" s="2">
        <f>Scores!L22</f>
        <v>1</v>
      </c>
      <c r="H22" s="2">
        <f>Scores!N22</f>
        <v>1</v>
      </c>
      <c r="I22" s="2">
        <f t="shared" si="1"/>
        <v>1</v>
      </c>
      <c r="J22" s="2">
        <f>Scores!P22+MAX(Scores!Q22,Scores!M22)</f>
        <v>1</v>
      </c>
      <c r="K22" s="2">
        <f>Scores!R22+MAX(Scores!S22,Scores!O22)</f>
        <v>1</v>
      </c>
      <c r="L22" s="2">
        <f t="shared" si="2"/>
        <v>1</v>
      </c>
      <c r="M22" s="2">
        <f>Scores!T22+Scores!V22</f>
        <v>2</v>
      </c>
      <c r="N22" s="2">
        <f>Scores!U22+Scores!V22</f>
        <v>4</v>
      </c>
      <c r="O22" s="2">
        <f t="shared" si="3"/>
        <v>4</v>
      </c>
      <c r="P22" s="5">
        <f>IF(B22=0," ",IF(B22=Extra!$S$2,VLOOKUP(C22,Extra!$R$4:$AD$8,O22+1),IF(B22=Extra!$W$2,VLOOKUP(C22,Extra!$R$4:$AD$8,(O22+5)),IF(B22=Extra!$AA$2,VLOOKUP(C22,Extra!$R$4:$AD$8,(O22+9)),0))))</f>
        <v>4</v>
      </c>
      <c r="Q22" s="5">
        <f>IF(I22=0," ",IF(I22=Extra!$S$10,VLOOKUP(F22,Extra!$R$12:$X$17,L22+1),IF(I22=Extra!$V$10,VLOOKUP(F22,Extra!$R$12:$X$17,(L22+4)),0)))</f>
        <v>1</v>
      </c>
    </row>
    <row r="23" spans="1:31" x14ac:dyDescent="0.25">
      <c r="A23" s="106">
        <f>Angles!A23</f>
        <v>21</v>
      </c>
      <c r="B23" s="2">
        <f>IF(A23=0,0,IF(Scores!B23+Scores!C23+Scores!D23=1,1,IF(Scores!B23+Scores!C23+Scores!D23=2,2,IF(Scores!B23+Scores!C23+Scores!D23&gt;=3,3,0))))</f>
        <v>1</v>
      </c>
      <c r="C23" s="2">
        <f>Scores!E23+Scores!F23+Scores!G23</f>
        <v>1</v>
      </c>
      <c r="D23" s="2">
        <f>Scores!H23+Scores!I23</f>
        <v>1</v>
      </c>
      <c r="E23" s="2">
        <f>Scores!J23+Scores!K23</f>
        <v>2</v>
      </c>
      <c r="F23" s="2">
        <f t="shared" si="0"/>
        <v>2</v>
      </c>
      <c r="G23" s="2">
        <f>Scores!L23</f>
        <v>1</v>
      </c>
      <c r="H23" s="2">
        <f>Scores!N23</f>
        <v>1</v>
      </c>
      <c r="I23" s="2">
        <f t="shared" si="1"/>
        <v>1</v>
      </c>
      <c r="J23" s="2">
        <f>Scores!P23+MAX(Scores!Q23,Scores!M23)</f>
        <v>1</v>
      </c>
      <c r="K23" s="2">
        <f>Scores!R23+MAX(Scores!S23,Scores!O23)</f>
        <v>1</v>
      </c>
      <c r="L23" s="2">
        <f t="shared" si="2"/>
        <v>1</v>
      </c>
      <c r="M23" s="2">
        <f>Scores!T23+Scores!V23</f>
        <v>2</v>
      </c>
      <c r="N23" s="2">
        <f>Scores!U23+Scores!V23</f>
        <v>4</v>
      </c>
      <c r="O23" s="2">
        <f t="shared" si="3"/>
        <v>4</v>
      </c>
      <c r="P23" s="5">
        <f>IF(B23=0," ",IF(B23=Extra!$S$2,VLOOKUP(C23,Extra!$R$4:$AD$8,O23+1),IF(B23=Extra!$W$2,VLOOKUP(C23,Extra!$R$4:$AD$8,(O23+5)),IF(B23=Extra!$AA$2,VLOOKUP(C23,Extra!$R$4:$AD$8,(O23+9)),0))))</f>
        <v>4</v>
      </c>
      <c r="Q23" s="5">
        <f>IF(I23=0," ",IF(I23=Extra!$S$10,VLOOKUP(F23,Extra!$R$12:$X$17,L23+1),IF(I23=Extra!$V$10,VLOOKUP(F23,Extra!$R$12:$X$17,(L23+4)),0)))</f>
        <v>1</v>
      </c>
    </row>
    <row r="24" spans="1:31" x14ac:dyDescent="0.25">
      <c r="A24" s="106">
        <f>Angles!A24</f>
        <v>22</v>
      </c>
      <c r="B24" s="2">
        <f>IF(A24=0,0,IF(Scores!B24+Scores!C24+Scores!D24=1,1,IF(Scores!B24+Scores!C24+Scores!D24=2,2,IF(Scores!B24+Scores!C24+Scores!D24&gt;=3,3,0))))</f>
        <v>1</v>
      </c>
      <c r="C24" s="2">
        <f>Scores!E24+Scores!F24+Scores!G24</f>
        <v>1</v>
      </c>
      <c r="D24" s="2">
        <f>Scores!H24+Scores!I24</f>
        <v>1</v>
      </c>
      <c r="E24" s="2">
        <f>Scores!J24+Scores!K24</f>
        <v>2</v>
      </c>
      <c r="F24" s="2">
        <f t="shared" si="0"/>
        <v>2</v>
      </c>
      <c r="G24" s="2">
        <f>Scores!L24</f>
        <v>1</v>
      </c>
      <c r="H24" s="2">
        <f>Scores!N24</f>
        <v>1</v>
      </c>
      <c r="I24" s="2">
        <f t="shared" si="1"/>
        <v>1</v>
      </c>
      <c r="J24" s="2">
        <f>Scores!P24+MAX(Scores!Q24,Scores!M24)</f>
        <v>1</v>
      </c>
      <c r="K24" s="2">
        <f>Scores!R24+MAX(Scores!S24,Scores!O24)</f>
        <v>1</v>
      </c>
      <c r="L24" s="2">
        <f t="shared" si="2"/>
        <v>1</v>
      </c>
      <c r="M24" s="2">
        <f>Scores!T24+Scores!V24</f>
        <v>2</v>
      </c>
      <c r="N24" s="2">
        <f>Scores!U24+Scores!V24</f>
        <v>4</v>
      </c>
      <c r="O24" s="2">
        <f t="shared" si="3"/>
        <v>4</v>
      </c>
      <c r="P24" s="5">
        <f>IF(B24=0," ",IF(B24=Extra!$S$2,VLOOKUP(C24,Extra!$R$4:$AD$8,O24+1),IF(B24=Extra!$W$2,VLOOKUP(C24,Extra!$R$4:$AD$8,(O24+5)),IF(B24=Extra!$AA$2,VLOOKUP(C24,Extra!$R$4:$AD$8,(O24+9)),0))))</f>
        <v>4</v>
      </c>
      <c r="Q24" s="5">
        <f>IF(I24=0," ",IF(I24=Extra!$S$10,VLOOKUP(F24,Extra!$R$12:$X$17,L24+1),IF(I24=Extra!$V$10,VLOOKUP(F24,Extra!$R$12:$X$17,(L24+4)),0)))</f>
        <v>1</v>
      </c>
    </row>
    <row r="25" spans="1:31" x14ac:dyDescent="0.25">
      <c r="A25" s="106">
        <f>Angles!A25</f>
        <v>23</v>
      </c>
      <c r="B25" s="2">
        <f>IF(A25=0,0,IF(Scores!B25+Scores!C25+Scores!D25=1,1,IF(Scores!B25+Scores!C25+Scores!D25=2,2,IF(Scores!B25+Scores!C25+Scores!D25&gt;=3,3,0))))</f>
        <v>2</v>
      </c>
      <c r="C25" s="2">
        <f>Scores!E25+Scores!F25+Scores!G25</f>
        <v>2</v>
      </c>
      <c r="D25" s="2">
        <f>Scores!H25+Scores!I25</f>
        <v>1</v>
      </c>
      <c r="E25" s="2">
        <f>Scores!J25+Scores!K25</f>
        <v>2</v>
      </c>
      <c r="F25" s="2">
        <f t="shared" si="0"/>
        <v>2</v>
      </c>
      <c r="G25" s="2">
        <f>Scores!L25</f>
        <v>1</v>
      </c>
      <c r="H25" s="2">
        <f>Scores!N25</f>
        <v>1</v>
      </c>
      <c r="I25" s="2">
        <f t="shared" si="1"/>
        <v>1</v>
      </c>
      <c r="J25" s="2">
        <f>Scores!P25+MAX(Scores!Q25,Scores!M25)</f>
        <v>1</v>
      </c>
      <c r="K25" s="2">
        <f>Scores!R25+MAX(Scores!S25,Scores!O25)</f>
        <v>1</v>
      </c>
      <c r="L25" s="2">
        <f t="shared" si="2"/>
        <v>1</v>
      </c>
      <c r="M25" s="2">
        <f>Scores!T25+Scores!V25</f>
        <v>3</v>
      </c>
      <c r="N25" s="2">
        <f>Scores!U25+Scores!V25</f>
        <v>4</v>
      </c>
      <c r="O25" s="2">
        <f t="shared" si="3"/>
        <v>4</v>
      </c>
      <c r="P25" s="5">
        <f>IF(B25=0," ",IF(B25=Extra!$S$2,VLOOKUP(C25,Extra!$R$4:$AD$8,O25+1),IF(B25=Extra!$W$2,VLOOKUP(C25,Extra!$R$4:$AD$8,(O25+5)),IF(B25=Extra!$AA$2,VLOOKUP(C25,Extra!$R$4:$AD$8,(O25+9)),0))))</f>
        <v>6</v>
      </c>
      <c r="Q25" s="5">
        <f>IF(I25=0," ",IF(I25=Extra!$S$10,VLOOKUP(F25,Extra!$R$12:$X$17,L25+1),IF(I25=Extra!$V$10,VLOOKUP(F25,Extra!$R$12:$X$17,(L25+4)),0)))</f>
        <v>1</v>
      </c>
    </row>
    <row r="26" spans="1:31" x14ac:dyDescent="0.25">
      <c r="A26" s="106">
        <f>Angles!A26</f>
        <v>24</v>
      </c>
      <c r="B26" s="2">
        <f>IF(A26=0,0,IF(Scores!B26+Scores!C26+Scores!D26=1,1,IF(Scores!B26+Scores!C26+Scores!D26=2,2,IF(Scores!B26+Scores!C26+Scores!D26&gt;=3,3,0))))</f>
        <v>2</v>
      </c>
      <c r="C26" s="2">
        <f>Scores!E26+Scores!F26+Scores!G26</f>
        <v>2</v>
      </c>
      <c r="D26" s="2">
        <f>Scores!H26+Scores!I26</f>
        <v>1</v>
      </c>
      <c r="E26" s="2">
        <f>Scores!J26+Scores!K26</f>
        <v>2</v>
      </c>
      <c r="F26" s="2">
        <f t="shared" si="0"/>
        <v>2</v>
      </c>
      <c r="G26" s="2">
        <f>Scores!L26</f>
        <v>1</v>
      </c>
      <c r="H26" s="2">
        <f>Scores!N26</f>
        <v>1</v>
      </c>
      <c r="I26" s="2">
        <f t="shared" si="1"/>
        <v>1</v>
      </c>
      <c r="J26" s="2">
        <f>Scores!P26+MAX(Scores!Q26,Scores!M26)</f>
        <v>2</v>
      </c>
      <c r="K26" s="2">
        <f>Scores!R26+MAX(Scores!S26,Scores!O26)</f>
        <v>2</v>
      </c>
      <c r="L26" s="2">
        <f t="shared" si="2"/>
        <v>2</v>
      </c>
      <c r="M26" s="2">
        <f>Scores!T26+Scores!V26</f>
        <v>3</v>
      </c>
      <c r="N26" s="2">
        <f>Scores!U26+Scores!V26</f>
        <v>4</v>
      </c>
      <c r="O26" s="2">
        <f t="shared" si="3"/>
        <v>4</v>
      </c>
      <c r="P26" s="5">
        <f>IF(B26=0," ",IF(B26=Extra!$S$2,VLOOKUP(C26,Extra!$R$4:$AD$8,O26+1),IF(B26=Extra!$W$2,VLOOKUP(C26,Extra!$R$4:$AD$8,(O26+5)),IF(B26=Extra!$AA$2,VLOOKUP(C26,Extra!$R$4:$AD$8,(O26+9)),0))))</f>
        <v>6</v>
      </c>
      <c r="Q26" s="5">
        <f>IF(I26=0," ",IF(I26=Extra!$S$10,VLOOKUP(F26,Extra!$R$12:$X$17,L26+1),IF(I26=Extra!$V$10,VLOOKUP(F26,Extra!$R$12:$X$17,(L26+4)),0)))</f>
        <v>2</v>
      </c>
    </row>
    <row r="27" spans="1:31" x14ac:dyDescent="0.25">
      <c r="A27" s="106">
        <f>Angles!A27</f>
        <v>25</v>
      </c>
      <c r="B27" s="2">
        <f>IF(A27=0,0,IF(Scores!B27+Scores!C27+Scores!D27=1,1,IF(Scores!B27+Scores!C27+Scores!D27=2,2,IF(Scores!B27+Scores!C27+Scores!D27&gt;=3,3,0))))</f>
        <v>2</v>
      </c>
      <c r="C27" s="2">
        <f>Scores!E27+Scores!F27+Scores!G27</f>
        <v>2</v>
      </c>
      <c r="D27" s="2">
        <f>Scores!H27+Scores!I27</f>
        <v>1</v>
      </c>
      <c r="E27" s="2">
        <f>Scores!J27+Scores!K27</f>
        <v>2</v>
      </c>
      <c r="F27" s="2">
        <f t="shared" si="0"/>
        <v>2</v>
      </c>
      <c r="G27" s="2">
        <f>Scores!L27</f>
        <v>1</v>
      </c>
      <c r="H27" s="2">
        <f>Scores!N27</f>
        <v>1</v>
      </c>
      <c r="I27" s="2">
        <f t="shared" si="1"/>
        <v>1</v>
      </c>
      <c r="J27" s="2">
        <f>Scores!P27+MAX(Scores!Q27,Scores!M27)</f>
        <v>2</v>
      </c>
      <c r="K27" s="2">
        <f>Scores!R27+MAX(Scores!S27,Scores!O27)</f>
        <v>2</v>
      </c>
      <c r="L27" s="2">
        <f t="shared" si="2"/>
        <v>2</v>
      </c>
      <c r="M27" s="2">
        <f>Scores!T27+Scores!V27</f>
        <v>3</v>
      </c>
      <c r="N27" s="2">
        <f>Scores!U27+Scores!V27</f>
        <v>4</v>
      </c>
      <c r="O27" s="2">
        <f t="shared" si="3"/>
        <v>4</v>
      </c>
      <c r="P27" s="5">
        <f>IF(B27=0," ",IF(B27=Extra!$S$2,VLOOKUP(C27,Extra!$R$4:$AD$8,O27+1),IF(B27=Extra!$W$2,VLOOKUP(C27,Extra!$R$4:$AD$8,(O27+5)),IF(B27=Extra!$AA$2,VLOOKUP(C27,Extra!$R$4:$AD$8,(O27+9)),0))))</f>
        <v>6</v>
      </c>
      <c r="Q27" s="5">
        <f>IF(I27=0," ",IF(I27=Extra!$S$10,VLOOKUP(F27,Extra!$R$12:$X$17,L27+1),IF(I27=Extra!$V$10,VLOOKUP(F27,Extra!$R$12:$X$17,(L27+4)),0)))</f>
        <v>2</v>
      </c>
    </row>
    <row r="28" spans="1:31" x14ac:dyDescent="0.25">
      <c r="A28" s="106">
        <f>Angles!A28</f>
        <v>26</v>
      </c>
      <c r="B28" s="2">
        <f>IF(A28=0,0,IF(Scores!B28+Scores!C28+Scores!D28=1,1,IF(Scores!B28+Scores!C28+Scores!D28=2,2,IF(Scores!B28+Scores!C28+Scores!D28&gt;=3,3,0))))</f>
        <v>2</v>
      </c>
      <c r="C28" s="2">
        <f>Scores!E28+Scores!F28+Scores!G28</f>
        <v>2</v>
      </c>
      <c r="D28" s="2">
        <f>Scores!H28+Scores!I28</f>
        <v>2</v>
      </c>
      <c r="E28" s="2">
        <f>Scores!J28+Scores!K28</f>
        <v>2</v>
      </c>
      <c r="F28" s="2">
        <f t="shared" si="0"/>
        <v>2</v>
      </c>
      <c r="G28" s="2">
        <f>Scores!L28</f>
        <v>1</v>
      </c>
      <c r="H28" s="2">
        <f>Scores!N28</f>
        <v>1</v>
      </c>
      <c r="I28" s="2">
        <f t="shared" si="1"/>
        <v>1</v>
      </c>
      <c r="J28" s="2">
        <f>Scores!P28+MAX(Scores!Q28,Scores!M28)</f>
        <v>2</v>
      </c>
      <c r="K28" s="2">
        <f>Scores!R28+MAX(Scores!S28,Scores!O28)</f>
        <v>2</v>
      </c>
      <c r="L28" s="2">
        <f t="shared" si="2"/>
        <v>2</v>
      </c>
      <c r="M28" s="2">
        <f>Scores!T28+Scores!V28</f>
        <v>3</v>
      </c>
      <c r="N28" s="2">
        <f>Scores!U28+Scores!V28</f>
        <v>4</v>
      </c>
      <c r="O28" s="2">
        <f t="shared" si="3"/>
        <v>4</v>
      </c>
      <c r="P28" s="5">
        <f>IF(B28=0," ",IF(B28=Extra!$S$2,VLOOKUP(C28,Extra!$R$4:$AD$8,O28+1),IF(B28=Extra!$W$2,VLOOKUP(C28,Extra!$R$4:$AD$8,(O28+5)),IF(B28=Extra!$AA$2,VLOOKUP(C28,Extra!$R$4:$AD$8,(O28+9)),0))))</f>
        <v>6</v>
      </c>
      <c r="Q28" s="5">
        <f>IF(I28=0," ",IF(I28=Extra!$S$10,VLOOKUP(F28,Extra!$R$12:$X$17,L28+1),IF(I28=Extra!$V$10,VLOOKUP(F28,Extra!$R$12:$X$17,(L28+4)),0)))</f>
        <v>2</v>
      </c>
    </row>
    <row r="29" spans="1:3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S29"/>
      <c r="T29"/>
      <c r="U29"/>
      <c r="V29"/>
      <c r="W29"/>
      <c r="X29"/>
      <c r="Y29"/>
      <c r="Z29"/>
      <c r="AA29"/>
      <c r="AB29"/>
      <c r="AC29"/>
      <c r="AD29"/>
      <c r="AE29"/>
    </row>
    <row r="30" spans="1:3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S30"/>
      <c r="T30"/>
      <c r="U30"/>
      <c r="V30"/>
      <c r="W30"/>
      <c r="X30"/>
      <c r="Y30"/>
      <c r="Z30"/>
      <c r="AA30"/>
      <c r="AB30"/>
      <c r="AC30"/>
      <c r="AD30"/>
      <c r="AE30"/>
    </row>
    <row r="31" spans="1:3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S31"/>
      <c r="T31"/>
      <c r="U31"/>
      <c r="V31"/>
      <c r="W31"/>
      <c r="X31"/>
      <c r="Y31"/>
      <c r="Z31"/>
      <c r="AA31"/>
      <c r="AB31"/>
      <c r="AC31"/>
      <c r="AD31"/>
      <c r="AE31"/>
    </row>
    <row r="32" spans="1:3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F87B6-4FB9-48DA-8F7D-C9985C245922}">
  <dimension ref="A1:AH32"/>
  <sheetViews>
    <sheetView workbookViewId="0">
      <selection activeCell="K2" sqref="K2"/>
    </sheetView>
  </sheetViews>
  <sheetFormatPr defaultRowHeight="15" x14ac:dyDescent="0.25"/>
  <sheetData>
    <row r="1" spans="1:34" ht="15.75" thickBot="1" x14ac:dyDescent="0.3">
      <c r="A1" s="116" t="s">
        <v>0</v>
      </c>
      <c r="B1" s="114" t="s">
        <v>46</v>
      </c>
      <c r="C1" s="116" t="s">
        <v>93</v>
      </c>
      <c r="D1" s="116" t="s">
        <v>97</v>
      </c>
      <c r="E1" s="2"/>
      <c r="F1" s="117" t="s">
        <v>1</v>
      </c>
      <c r="G1" s="113" t="s">
        <v>46</v>
      </c>
      <c r="H1" s="117" t="s">
        <v>94</v>
      </c>
      <c r="I1" s="117" t="s">
        <v>96</v>
      </c>
      <c r="J1" s="2"/>
      <c r="K1" s="118" t="s">
        <v>2</v>
      </c>
      <c r="L1" s="115" t="s">
        <v>46</v>
      </c>
      <c r="M1" s="118" t="s">
        <v>95</v>
      </c>
      <c r="O1" s="111" t="s">
        <v>98</v>
      </c>
      <c r="R1" s="65" t="s">
        <v>7</v>
      </c>
      <c r="S1" s="65" t="s">
        <v>85</v>
      </c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H1" s="2">
        <v>0</v>
      </c>
    </row>
    <row r="2" spans="1:34" ht="20.25" x14ac:dyDescent="0.3">
      <c r="A2" s="119">
        <f>AVERAGE(Reba!P3:P999)</f>
        <v>4.7307692307692308</v>
      </c>
      <c r="B2" s="108"/>
      <c r="C2" s="120">
        <v>0</v>
      </c>
      <c r="D2" s="119">
        <f>A2+C2</f>
        <v>4.7307692307692308</v>
      </c>
      <c r="E2" s="108"/>
      <c r="F2" s="119">
        <f>AVERAGE(Reba!Q3:Q999)</f>
        <v>2.3846153846153846</v>
      </c>
      <c r="G2" s="108"/>
      <c r="H2" s="120">
        <v>0</v>
      </c>
      <c r="I2" s="119">
        <f>F2+H2</f>
        <v>2.3846153846153846</v>
      </c>
      <c r="J2" s="108"/>
      <c r="K2" s="121">
        <f>VLOOKUP($D$2,$S$21:$AE$32,$I$2+1)</f>
        <v>4</v>
      </c>
      <c r="M2" s="122">
        <v>0</v>
      </c>
      <c r="O2" s="110">
        <f>K2+M2</f>
        <v>4</v>
      </c>
      <c r="R2" s="66"/>
      <c r="S2" s="67">
        <v>1</v>
      </c>
      <c r="T2" s="68">
        <v>1</v>
      </c>
      <c r="U2" s="68">
        <v>1</v>
      </c>
      <c r="V2" s="69">
        <v>1</v>
      </c>
      <c r="W2" s="67">
        <v>2</v>
      </c>
      <c r="X2" s="68">
        <v>2</v>
      </c>
      <c r="Y2" s="68">
        <v>2</v>
      </c>
      <c r="Z2" s="69">
        <v>2</v>
      </c>
      <c r="AA2" s="67">
        <v>3</v>
      </c>
      <c r="AB2" s="68">
        <v>3</v>
      </c>
      <c r="AC2" s="68">
        <v>3</v>
      </c>
      <c r="AD2" s="69">
        <v>3</v>
      </c>
      <c r="AE2" s="14" t="s">
        <v>8</v>
      </c>
      <c r="AH2" s="2">
        <v>1</v>
      </c>
    </row>
    <row r="3" spans="1:34" ht="15.75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R3" s="70" t="s">
        <v>86</v>
      </c>
      <c r="S3" s="71">
        <v>1</v>
      </c>
      <c r="T3" s="72">
        <v>2</v>
      </c>
      <c r="U3" s="72">
        <v>3</v>
      </c>
      <c r="V3" s="73">
        <v>4</v>
      </c>
      <c r="W3" s="74">
        <v>1</v>
      </c>
      <c r="X3" s="75">
        <v>2</v>
      </c>
      <c r="Y3" s="75">
        <v>3</v>
      </c>
      <c r="Z3" s="76">
        <v>4</v>
      </c>
      <c r="AA3" s="74">
        <v>1</v>
      </c>
      <c r="AB3" s="75">
        <v>2</v>
      </c>
      <c r="AC3" s="75">
        <v>3</v>
      </c>
      <c r="AD3" s="76">
        <v>4</v>
      </c>
      <c r="AE3" s="14" t="s">
        <v>10</v>
      </c>
      <c r="AH3" s="2">
        <v>2</v>
      </c>
    </row>
    <row r="4" spans="1:3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R4" s="70">
        <v>1</v>
      </c>
      <c r="S4" s="77">
        <v>1</v>
      </c>
      <c r="T4" s="78">
        <v>2</v>
      </c>
      <c r="U4" s="78">
        <v>3</v>
      </c>
      <c r="V4" s="79">
        <v>4</v>
      </c>
      <c r="W4" s="77">
        <v>1</v>
      </c>
      <c r="X4" s="78">
        <v>2</v>
      </c>
      <c r="Y4" s="78">
        <v>3</v>
      </c>
      <c r="Z4" s="79">
        <v>4</v>
      </c>
      <c r="AA4" s="80">
        <v>3</v>
      </c>
      <c r="AB4" s="81">
        <v>3</v>
      </c>
      <c r="AC4" s="81">
        <v>5</v>
      </c>
      <c r="AD4" s="82">
        <v>6</v>
      </c>
      <c r="AE4" s="14"/>
      <c r="AH4" s="2">
        <v>3</v>
      </c>
    </row>
    <row r="5" spans="1:3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R5" s="70">
        <v>2</v>
      </c>
      <c r="S5" s="80">
        <v>2</v>
      </c>
      <c r="T5" s="81">
        <v>3</v>
      </c>
      <c r="U5" s="81">
        <v>4</v>
      </c>
      <c r="V5" s="82">
        <v>5</v>
      </c>
      <c r="W5" s="80">
        <v>3</v>
      </c>
      <c r="X5" s="81">
        <v>4</v>
      </c>
      <c r="Y5" s="81">
        <v>5</v>
      </c>
      <c r="Z5" s="82">
        <v>6</v>
      </c>
      <c r="AA5" s="80">
        <v>4</v>
      </c>
      <c r="AB5" s="81">
        <v>5</v>
      </c>
      <c r="AC5" s="81">
        <v>6</v>
      </c>
      <c r="AD5" s="82">
        <v>7</v>
      </c>
      <c r="AE5" s="14"/>
    </row>
    <row r="6" spans="1:34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R6" s="70">
        <v>3</v>
      </c>
      <c r="S6" s="80">
        <v>2</v>
      </c>
      <c r="T6" s="81">
        <v>4</v>
      </c>
      <c r="U6" s="81">
        <v>5</v>
      </c>
      <c r="V6" s="82">
        <v>6</v>
      </c>
      <c r="W6" s="80">
        <v>4</v>
      </c>
      <c r="X6" s="81">
        <v>5</v>
      </c>
      <c r="Y6" s="81">
        <v>6</v>
      </c>
      <c r="Z6" s="82">
        <v>7</v>
      </c>
      <c r="AA6" s="80">
        <v>5</v>
      </c>
      <c r="AB6" s="81">
        <v>6</v>
      </c>
      <c r="AC6" s="81">
        <v>7</v>
      </c>
      <c r="AD6" s="82">
        <v>8</v>
      </c>
      <c r="AE6" s="14"/>
    </row>
    <row r="7" spans="1:34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R7" s="70">
        <v>4</v>
      </c>
      <c r="S7" s="80">
        <v>3</v>
      </c>
      <c r="T7" s="81">
        <v>5</v>
      </c>
      <c r="U7" s="81">
        <v>6</v>
      </c>
      <c r="V7" s="82">
        <v>7</v>
      </c>
      <c r="W7" s="80">
        <v>5</v>
      </c>
      <c r="X7" s="81">
        <v>6</v>
      </c>
      <c r="Y7" s="81">
        <v>7</v>
      </c>
      <c r="Z7" s="82">
        <v>8</v>
      </c>
      <c r="AA7" s="80">
        <v>6</v>
      </c>
      <c r="AB7" s="81">
        <v>7</v>
      </c>
      <c r="AC7" s="81">
        <v>8</v>
      </c>
      <c r="AD7" s="82">
        <v>9</v>
      </c>
      <c r="AE7" s="14"/>
    </row>
    <row r="8" spans="1:34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R8" s="70">
        <v>5</v>
      </c>
      <c r="S8" s="83">
        <v>4</v>
      </c>
      <c r="T8" s="84">
        <v>6</v>
      </c>
      <c r="U8" s="84">
        <v>7</v>
      </c>
      <c r="V8" s="85">
        <v>8</v>
      </c>
      <c r="W8" s="83">
        <v>6</v>
      </c>
      <c r="X8" s="84">
        <v>7</v>
      </c>
      <c r="Y8" s="84">
        <v>8</v>
      </c>
      <c r="Z8" s="85">
        <v>9</v>
      </c>
      <c r="AA8" s="83">
        <v>7</v>
      </c>
      <c r="AB8" s="84">
        <v>8</v>
      </c>
      <c r="AC8" s="84">
        <v>9</v>
      </c>
      <c r="AD8" s="85">
        <v>9</v>
      </c>
      <c r="AE8" s="14"/>
    </row>
    <row r="9" spans="1:34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R9" s="65" t="s">
        <v>21</v>
      </c>
      <c r="S9" s="65" t="s">
        <v>85</v>
      </c>
      <c r="T9" s="14"/>
      <c r="U9" s="14"/>
      <c r="V9" s="14"/>
      <c r="W9" s="14"/>
      <c r="X9" s="14"/>
      <c r="Y9" s="14"/>
      <c r="AA9" s="14"/>
      <c r="AB9" s="15"/>
      <c r="AC9" s="14"/>
      <c r="AD9" s="14"/>
      <c r="AE9" s="14"/>
    </row>
    <row r="10" spans="1:3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R10" s="66"/>
      <c r="S10" s="67">
        <v>1</v>
      </c>
      <c r="T10" s="68">
        <v>1</v>
      </c>
      <c r="U10" s="68">
        <v>1</v>
      </c>
      <c r="V10" s="67">
        <v>2</v>
      </c>
      <c r="W10" s="68">
        <v>2</v>
      </c>
      <c r="X10" s="69">
        <v>2</v>
      </c>
      <c r="Y10" s="14" t="s">
        <v>22</v>
      </c>
      <c r="Z10" s="14"/>
      <c r="AA10" s="14"/>
      <c r="AB10" s="15"/>
      <c r="AC10" s="14"/>
      <c r="AD10" s="14"/>
      <c r="AE10" s="14"/>
    </row>
    <row r="11" spans="1:34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R11" s="70" t="s">
        <v>87</v>
      </c>
      <c r="S11" s="71">
        <v>1</v>
      </c>
      <c r="T11" s="72">
        <v>2</v>
      </c>
      <c r="U11" s="72">
        <v>3</v>
      </c>
      <c r="V11" s="74">
        <v>1</v>
      </c>
      <c r="W11" s="75">
        <v>2</v>
      </c>
      <c r="X11" s="76">
        <v>3</v>
      </c>
      <c r="Y11" s="14" t="s">
        <v>24</v>
      </c>
      <c r="Z11" s="14"/>
      <c r="AA11" s="14"/>
      <c r="AB11" s="15"/>
      <c r="AC11" s="14"/>
      <c r="AD11" s="14"/>
      <c r="AE11" s="14"/>
    </row>
    <row r="12" spans="1:3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R12" s="70">
        <v>1</v>
      </c>
      <c r="S12" s="77">
        <v>1</v>
      </c>
      <c r="T12" s="78">
        <v>2</v>
      </c>
      <c r="U12" s="78">
        <v>2</v>
      </c>
      <c r="V12" s="77">
        <v>1</v>
      </c>
      <c r="W12" s="78">
        <v>2</v>
      </c>
      <c r="X12" s="79">
        <v>3</v>
      </c>
      <c r="Y12" s="14"/>
      <c r="Z12" s="14"/>
      <c r="AA12" s="14"/>
      <c r="AB12" s="15"/>
      <c r="AC12" s="14"/>
      <c r="AD12" s="14"/>
      <c r="AE12" s="14"/>
    </row>
    <row r="13" spans="1:3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R13" s="70">
        <v>2</v>
      </c>
      <c r="S13" s="80">
        <v>1</v>
      </c>
      <c r="T13" s="81">
        <v>2</v>
      </c>
      <c r="U13" s="81">
        <v>3</v>
      </c>
      <c r="V13" s="80">
        <v>2</v>
      </c>
      <c r="W13" s="81">
        <v>3</v>
      </c>
      <c r="X13" s="82">
        <v>4</v>
      </c>
      <c r="Y13" s="14"/>
      <c r="Z13" s="14"/>
      <c r="AA13" s="14"/>
      <c r="AB13" s="15"/>
      <c r="AC13" s="14"/>
      <c r="AD13" s="14"/>
      <c r="AE13" s="14"/>
    </row>
    <row r="14" spans="1:3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R14" s="70">
        <v>3</v>
      </c>
      <c r="S14" s="80">
        <v>3</v>
      </c>
      <c r="T14" s="81">
        <v>4</v>
      </c>
      <c r="U14" s="81">
        <v>5</v>
      </c>
      <c r="V14" s="80">
        <v>4</v>
      </c>
      <c r="W14" s="81">
        <v>5</v>
      </c>
      <c r="X14" s="82">
        <v>5</v>
      </c>
      <c r="Y14" s="14"/>
      <c r="Z14" s="14"/>
      <c r="AA14" s="14"/>
      <c r="AB14" s="15"/>
      <c r="AC14" s="14"/>
      <c r="AD14" s="14"/>
      <c r="AE14" s="14"/>
    </row>
    <row r="15" spans="1:3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R15" s="70">
        <v>4</v>
      </c>
      <c r="S15" s="80">
        <v>4</v>
      </c>
      <c r="T15" s="81">
        <v>5</v>
      </c>
      <c r="U15" s="81">
        <v>5</v>
      </c>
      <c r="V15" s="80">
        <v>5</v>
      </c>
      <c r="W15" s="81">
        <v>6</v>
      </c>
      <c r="X15" s="82">
        <v>7</v>
      </c>
      <c r="Y15" s="14"/>
      <c r="Z15" s="14"/>
      <c r="AA15" s="14"/>
      <c r="AB15" s="15"/>
      <c r="AC15" s="14"/>
      <c r="AD15" s="14"/>
      <c r="AE15" s="14"/>
    </row>
    <row r="16" spans="1:3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R16" s="70">
        <v>5</v>
      </c>
      <c r="S16" s="80">
        <v>6</v>
      </c>
      <c r="T16" s="81">
        <v>7</v>
      </c>
      <c r="U16" s="81">
        <v>8</v>
      </c>
      <c r="V16" s="80">
        <v>7</v>
      </c>
      <c r="W16" s="81">
        <v>8</v>
      </c>
      <c r="X16" s="82">
        <v>8</v>
      </c>
      <c r="Y16" s="14"/>
      <c r="Z16" s="14"/>
      <c r="AA16" s="14"/>
      <c r="AB16" s="15"/>
      <c r="AC16" s="14"/>
      <c r="AD16" s="14"/>
      <c r="AE16" s="14"/>
    </row>
    <row r="17" spans="1:3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R17" s="70">
        <v>6</v>
      </c>
      <c r="S17" s="83">
        <v>7</v>
      </c>
      <c r="T17" s="84">
        <v>8</v>
      </c>
      <c r="U17" s="84">
        <v>8</v>
      </c>
      <c r="V17" s="83">
        <v>8</v>
      </c>
      <c r="W17" s="84">
        <v>9</v>
      </c>
      <c r="X17" s="85">
        <v>9</v>
      </c>
      <c r="Y17" s="14"/>
      <c r="Z17" s="14"/>
      <c r="AA17" s="14"/>
      <c r="AB17" s="15"/>
      <c r="AC17" s="14"/>
      <c r="AD17" s="14"/>
      <c r="AE17" s="14"/>
    </row>
    <row r="18" spans="1:3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R19" s="14"/>
      <c r="S19" s="65" t="s">
        <v>34</v>
      </c>
      <c r="T19" s="65" t="s">
        <v>85</v>
      </c>
      <c r="U19" s="14"/>
      <c r="V19" s="14"/>
      <c r="W19" s="14" t="s">
        <v>68</v>
      </c>
      <c r="X19" s="14"/>
      <c r="Y19" s="14"/>
      <c r="Z19" s="14"/>
      <c r="AA19" s="14"/>
      <c r="AB19" s="14"/>
      <c r="AC19" s="14"/>
      <c r="AD19" s="14"/>
      <c r="AE19" s="14"/>
    </row>
    <row r="20" spans="1:3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R20" s="15"/>
      <c r="S20" s="109"/>
      <c r="T20" s="86">
        <v>1</v>
      </c>
      <c r="U20" s="87">
        <v>2</v>
      </c>
      <c r="V20" s="87">
        <v>3</v>
      </c>
      <c r="W20" s="87">
        <v>4</v>
      </c>
      <c r="X20" s="87">
        <v>5</v>
      </c>
      <c r="Y20" s="87">
        <v>6</v>
      </c>
      <c r="Z20" s="87">
        <v>7</v>
      </c>
      <c r="AA20" s="87">
        <v>8</v>
      </c>
      <c r="AB20" s="87">
        <v>9</v>
      </c>
      <c r="AC20" s="87">
        <v>10</v>
      </c>
      <c r="AD20" s="87">
        <v>11</v>
      </c>
      <c r="AE20" s="88">
        <v>12</v>
      </c>
    </row>
    <row r="21" spans="1:3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R21" s="15"/>
      <c r="S21" s="89">
        <v>1</v>
      </c>
      <c r="T21" s="90">
        <v>1</v>
      </c>
      <c r="U21" s="91">
        <v>1</v>
      </c>
      <c r="V21" s="91">
        <v>1</v>
      </c>
      <c r="W21" s="91">
        <v>2</v>
      </c>
      <c r="X21" s="91">
        <v>3</v>
      </c>
      <c r="Y21" s="91">
        <v>3</v>
      </c>
      <c r="Z21" s="91">
        <v>4</v>
      </c>
      <c r="AA21" s="91">
        <v>5</v>
      </c>
      <c r="AB21" s="91">
        <v>6</v>
      </c>
      <c r="AC21" s="92">
        <v>7</v>
      </c>
      <c r="AD21" s="91">
        <v>7</v>
      </c>
      <c r="AE21" s="93">
        <v>7</v>
      </c>
    </row>
    <row r="22" spans="1:3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R22" s="15" t="s">
        <v>88</v>
      </c>
      <c r="S22" s="94">
        <v>2</v>
      </c>
      <c r="T22" s="95">
        <v>1</v>
      </c>
      <c r="U22" s="96">
        <v>2</v>
      </c>
      <c r="V22" s="96">
        <v>2</v>
      </c>
      <c r="W22" s="96">
        <v>3</v>
      </c>
      <c r="X22" s="96">
        <v>4</v>
      </c>
      <c r="Y22" s="96">
        <v>4</v>
      </c>
      <c r="Z22" s="96">
        <v>5</v>
      </c>
      <c r="AA22" s="96">
        <v>6</v>
      </c>
      <c r="AB22" s="96">
        <v>6</v>
      </c>
      <c r="AC22" s="97">
        <v>7</v>
      </c>
      <c r="AD22" s="96">
        <v>7</v>
      </c>
      <c r="AE22" s="98">
        <v>8</v>
      </c>
    </row>
    <row r="23" spans="1:3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R23" s="15" t="s">
        <v>89</v>
      </c>
      <c r="S23" s="94">
        <v>3</v>
      </c>
      <c r="T23" s="95">
        <v>2</v>
      </c>
      <c r="U23" s="96">
        <v>3</v>
      </c>
      <c r="V23" s="96">
        <v>3</v>
      </c>
      <c r="W23" s="96">
        <v>3</v>
      </c>
      <c r="X23" s="96">
        <v>4</v>
      </c>
      <c r="Y23" s="96">
        <v>5</v>
      </c>
      <c r="Z23" s="96">
        <v>6</v>
      </c>
      <c r="AA23" s="96">
        <v>7</v>
      </c>
      <c r="AB23" s="96">
        <v>7</v>
      </c>
      <c r="AC23" s="97">
        <v>8</v>
      </c>
      <c r="AD23" s="96">
        <v>8</v>
      </c>
      <c r="AE23" s="98">
        <v>8</v>
      </c>
    </row>
    <row r="24" spans="1:3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R24" s="15" t="s">
        <v>89</v>
      </c>
      <c r="S24" s="94">
        <v>4</v>
      </c>
      <c r="T24" s="95">
        <v>3</v>
      </c>
      <c r="U24" s="96">
        <v>4</v>
      </c>
      <c r="V24" s="96">
        <v>4</v>
      </c>
      <c r="W24" s="96">
        <v>4</v>
      </c>
      <c r="X24" s="96">
        <v>5</v>
      </c>
      <c r="Y24" s="96">
        <v>6</v>
      </c>
      <c r="Z24" s="96">
        <v>7</v>
      </c>
      <c r="AA24" s="96">
        <v>8</v>
      </c>
      <c r="AB24" s="96">
        <v>8</v>
      </c>
      <c r="AC24" s="97">
        <v>9</v>
      </c>
      <c r="AD24" s="96">
        <v>9</v>
      </c>
      <c r="AE24" s="98">
        <v>9</v>
      </c>
    </row>
    <row r="25" spans="1:3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R25" s="15" t="s">
        <v>90</v>
      </c>
      <c r="S25" s="94">
        <v>5</v>
      </c>
      <c r="T25" s="95">
        <v>4</v>
      </c>
      <c r="U25" s="96">
        <v>4</v>
      </c>
      <c r="V25" s="96">
        <v>4</v>
      </c>
      <c r="W25" s="96">
        <v>5</v>
      </c>
      <c r="X25" s="96">
        <v>6</v>
      </c>
      <c r="Y25" s="96">
        <v>7</v>
      </c>
      <c r="Z25" s="96">
        <v>8</v>
      </c>
      <c r="AA25" s="96">
        <v>8</v>
      </c>
      <c r="AB25" s="96">
        <v>9</v>
      </c>
      <c r="AC25" s="97">
        <v>9</v>
      </c>
      <c r="AD25" s="96">
        <v>9</v>
      </c>
      <c r="AE25" s="98">
        <v>9</v>
      </c>
    </row>
    <row r="26" spans="1:3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R26" s="15" t="s">
        <v>91</v>
      </c>
      <c r="S26" s="94">
        <v>6</v>
      </c>
      <c r="T26" s="95">
        <v>6</v>
      </c>
      <c r="U26" s="96">
        <v>6</v>
      </c>
      <c r="V26" s="96">
        <v>6</v>
      </c>
      <c r="W26" s="96">
        <v>7</v>
      </c>
      <c r="X26" s="96">
        <v>8</v>
      </c>
      <c r="Y26" s="96">
        <v>8</v>
      </c>
      <c r="Z26" s="96">
        <v>9</v>
      </c>
      <c r="AA26" s="96">
        <v>9</v>
      </c>
      <c r="AB26" s="96">
        <v>10</v>
      </c>
      <c r="AC26" s="97">
        <v>10</v>
      </c>
      <c r="AD26" s="96">
        <v>10</v>
      </c>
      <c r="AE26" s="98">
        <v>10</v>
      </c>
    </row>
    <row r="27" spans="1:3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R27" s="15"/>
      <c r="S27" s="94">
        <v>7</v>
      </c>
      <c r="T27" s="95">
        <v>7</v>
      </c>
      <c r="U27" s="96">
        <v>7</v>
      </c>
      <c r="V27" s="96">
        <v>7</v>
      </c>
      <c r="W27" s="96">
        <v>8</v>
      </c>
      <c r="X27" s="96">
        <v>9</v>
      </c>
      <c r="Y27" s="96">
        <v>9</v>
      </c>
      <c r="Z27" s="96">
        <v>9</v>
      </c>
      <c r="AA27" s="96">
        <v>10</v>
      </c>
      <c r="AB27" s="96">
        <v>10</v>
      </c>
      <c r="AC27" s="97">
        <v>11</v>
      </c>
      <c r="AD27" s="96">
        <v>11</v>
      </c>
      <c r="AE27" s="98">
        <v>11</v>
      </c>
    </row>
    <row r="28" spans="1:3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R28" s="15" t="s">
        <v>92</v>
      </c>
      <c r="S28" s="94">
        <v>8</v>
      </c>
      <c r="T28" s="95">
        <v>8</v>
      </c>
      <c r="U28" s="96">
        <v>8</v>
      </c>
      <c r="V28" s="96">
        <v>8</v>
      </c>
      <c r="W28" s="96">
        <v>9</v>
      </c>
      <c r="X28" s="96">
        <v>10</v>
      </c>
      <c r="Y28" s="96">
        <v>10</v>
      </c>
      <c r="Z28" s="96">
        <v>10</v>
      </c>
      <c r="AA28" s="96">
        <v>10</v>
      </c>
      <c r="AB28" s="96">
        <v>10</v>
      </c>
      <c r="AC28" s="97">
        <v>11</v>
      </c>
      <c r="AD28" s="96">
        <v>11</v>
      </c>
      <c r="AE28" s="98">
        <v>11</v>
      </c>
    </row>
    <row r="29" spans="1:3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R29" s="15"/>
      <c r="S29" s="94">
        <v>9</v>
      </c>
      <c r="T29" s="95">
        <v>9</v>
      </c>
      <c r="U29" s="96">
        <v>9</v>
      </c>
      <c r="V29" s="96">
        <v>9</v>
      </c>
      <c r="W29" s="96">
        <v>10</v>
      </c>
      <c r="X29" s="96">
        <v>10</v>
      </c>
      <c r="Y29" s="96">
        <v>10</v>
      </c>
      <c r="Z29" s="96">
        <v>11</v>
      </c>
      <c r="AA29" s="96">
        <v>11</v>
      </c>
      <c r="AB29" s="96">
        <v>11</v>
      </c>
      <c r="AC29" s="97">
        <v>12</v>
      </c>
      <c r="AD29" s="96">
        <v>12</v>
      </c>
      <c r="AE29" s="98">
        <v>12</v>
      </c>
    </row>
    <row r="30" spans="1:3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R30" s="15"/>
      <c r="S30" s="94">
        <v>10</v>
      </c>
      <c r="T30" s="95">
        <v>10</v>
      </c>
      <c r="U30" s="96">
        <v>10</v>
      </c>
      <c r="V30" s="96">
        <v>10</v>
      </c>
      <c r="W30" s="96">
        <v>11</v>
      </c>
      <c r="X30" s="96">
        <v>11</v>
      </c>
      <c r="Y30" s="96">
        <v>11</v>
      </c>
      <c r="Z30" s="96">
        <v>11</v>
      </c>
      <c r="AA30" s="96">
        <v>12</v>
      </c>
      <c r="AB30" s="96">
        <v>12</v>
      </c>
      <c r="AC30" s="97">
        <v>12</v>
      </c>
      <c r="AD30" s="96">
        <v>12</v>
      </c>
      <c r="AE30" s="98">
        <v>12</v>
      </c>
    </row>
    <row r="31" spans="1:3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R31" s="15"/>
      <c r="S31" s="94">
        <v>11</v>
      </c>
      <c r="T31" s="95">
        <v>11</v>
      </c>
      <c r="U31" s="96">
        <v>11</v>
      </c>
      <c r="V31" s="96">
        <v>11</v>
      </c>
      <c r="W31" s="96">
        <v>11</v>
      </c>
      <c r="X31" s="96">
        <v>11</v>
      </c>
      <c r="Y31" s="96">
        <v>12</v>
      </c>
      <c r="Z31" s="96">
        <v>12</v>
      </c>
      <c r="AA31" s="96">
        <v>12</v>
      </c>
      <c r="AB31" s="96">
        <v>12</v>
      </c>
      <c r="AC31" s="97">
        <v>12</v>
      </c>
      <c r="AD31" s="96">
        <v>12</v>
      </c>
      <c r="AE31" s="98">
        <v>12</v>
      </c>
    </row>
    <row r="32" spans="1:31" ht="15.75" thickBo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R32" s="15"/>
      <c r="S32" s="99">
        <v>12</v>
      </c>
      <c r="T32" s="100">
        <v>12</v>
      </c>
      <c r="U32" s="101">
        <v>12</v>
      </c>
      <c r="V32" s="101">
        <v>12</v>
      </c>
      <c r="W32" s="101">
        <v>12</v>
      </c>
      <c r="X32" s="101">
        <v>12</v>
      </c>
      <c r="Y32" s="101">
        <v>12</v>
      </c>
      <c r="Z32" s="101">
        <v>12</v>
      </c>
      <c r="AA32" s="101">
        <v>12</v>
      </c>
      <c r="AB32" s="101">
        <v>12</v>
      </c>
      <c r="AC32" s="102">
        <v>12</v>
      </c>
      <c r="AD32" s="101">
        <v>12</v>
      </c>
      <c r="AE32" s="103">
        <v>12</v>
      </c>
    </row>
  </sheetData>
  <conditionalFormatting sqref="O2">
    <cfRule type="cellIs" dxfId="7" priority="1" operator="between">
      <formula>11</formula>
      <formula>15</formula>
    </cfRule>
    <cfRule type="cellIs" dxfId="6" priority="2" operator="between">
      <formula>8</formula>
      <formula>10</formula>
    </cfRule>
    <cfRule type="cellIs" dxfId="5" priority="3" operator="between">
      <formula>4</formula>
      <formula>7</formula>
    </cfRule>
    <cfRule type="cellIs" dxfId="4" priority="4" operator="between">
      <formula>1</formula>
      <formula>3</formula>
    </cfRule>
  </conditionalFormatting>
  <dataValidations count="3">
    <dataValidation type="list" allowBlank="1" showInputMessage="1" showErrorMessage="1" sqref="M2" xr:uid="{4E65E8C6-345D-43A3-BD79-CD82A8D78C51}">
      <formula1>$BB$1:$BB$4</formula1>
    </dataValidation>
    <dataValidation type="list" showInputMessage="1" showErrorMessage="1" sqref="C2" xr:uid="{F1994C21-929B-4CAD-B4F1-10561A42B442}">
      <formula1>$BB$1:$BB$4</formula1>
    </dataValidation>
    <dataValidation type="list" operator="equal" showInputMessage="1" showErrorMessage="1" sqref="H2" xr:uid="{5CCFACEB-4411-41B5-BCE2-99C1F4A9BBB4}">
      <formula1>$BB$1:$BB$4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BA3E-0D99-4DBD-ACE1-ABFCA6A967C0}">
  <dimension ref="A1:AP48"/>
  <sheetViews>
    <sheetView topLeftCell="A14" zoomScale="68" zoomScaleNormal="68" workbookViewId="0">
      <selection activeCell="H48" sqref="H48:M48"/>
    </sheetView>
  </sheetViews>
  <sheetFormatPr defaultRowHeight="15" x14ac:dyDescent="0.25"/>
  <sheetData>
    <row r="1" spans="1:41" ht="15.75" x14ac:dyDescent="0.25">
      <c r="A1" s="6"/>
      <c r="B1" s="7" t="s">
        <v>3</v>
      </c>
      <c r="C1" s="8"/>
      <c r="D1" s="8"/>
      <c r="E1" s="9"/>
      <c r="F1" s="10"/>
      <c r="G1" s="10"/>
      <c r="H1" s="10"/>
      <c r="I1" s="8"/>
      <c r="J1" s="8"/>
      <c r="K1" s="8"/>
      <c r="L1" s="8" t="s">
        <v>4</v>
      </c>
      <c r="M1" s="11"/>
      <c r="N1" s="8"/>
      <c r="O1" s="10"/>
      <c r="P1" s="8"/>
      <c r="Q1" s="8"/>
      <c r="R1" s="8"/>
      <c r="S1" s="8"/>
      <c r="T1" s="8"/>
      <c r="U1" s="8"/>
      <c r="V1" s="8" t="s">
        <v>5</v>
      </c>
      <c r="W1" s="8"/>
      <c r="X1" s="8"/>
      <c r="Y1" s="8"/>
      <c r="Z1" s="8"/>
      <c r="AA1" s="12"/>
    </row>
    <row r="2" spans="1:41" x14ac:dyDescent="0.25">
      <c r="A2" s="13" t="s">
        <v>6</v>
      </c>
      <c r="B2" s="14"/>
      <c r="C2" s="14"/>
      <c r="D2" s="15"/>
      <c r="E2" s="16"/>
      <c r="F2" s="124" t="s">
        <v>7</v>
      </c>
      <c r="G2" s="127" t="s">
        <v>8</v>
      </c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4"/>
      <c r="U2" s="19" t="s">
        <v>9</v>
      </c>
      <c r="V2" s="14"/>
      <c r="W2" s="14"/>
      <c r="X2" s="14"/>
      <c r="Y2" s="14"/>
      <c r="Z2" s="14"/>
      <c r="AA2" s="20"/>
      <c r="AC2" s="66"/>
      <c r="AD2" s="66"/>
    </row>
    <row r="3" spans="1:41" x14ac:dyDescent="0.25">
      <c r="A3" s="21"/>
      <c r="B3" s="14"/>
      <c r="C3" s="14"/>
      <c r="D3" s="15"/>
      <c r="E3" s="16"/>
      <c r="F3" s="124"/>
      <c r="G3" s="18"/>
      <c r="H3" s="127">
        <v>1</v>
      </c>
      <c r="I3" s="127"/>
      <c r="J3" s="127"/>
      <c r="K3" s="127"/>
      <c r="L3" s="127">
        <v>2</v>
      </c>
      <c r="M3" s="127"/>
      <c r="N3" s="127"/>
      <c r="O3" s="127"/>
      <c r="P3" s="127">
        <v>3</v>
      </c>
      <c r="Q3" s="127"/>
      <c r="R3" s="127"/>
      <c r="S3" s="127"/>
      <c r="T3" s="14"/>
      <c r="U3" s="14"/>
      <c r="V3" s="14"/>
      <c r="W3" s="14"/>
      <c r="X3" s="14"/>
      <c r="Y3" s="14"/>
      <c r="Z3" s="14"/>
      <c r="AA3" s="20"/>
      <c r="AC3" s="66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</row>
    <row r="4" spans="1:41" x14ac:dyDescent="0.25">
      <c r="A4" s="21"/>
      <c r="B4" s="14"/>
      <c r="C4" s="14"/>
      <c r="D4" s="15"/>
      <c r="E4" s="16"/>
      <c r="F4" s="124"/>
      <c r="G4" s="125" t="s">
        <v>10</v>
      </c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4"/>
      <c r="U4" s="14"/>
      <c r="V4" s="14"/>
      <c r="W4" s="14"/>
      <c r="X4" s="14"/>
      <c r="Y4" s="14"/>
      <c r="Z4" s="14"/>
      <c r="AA4" s="20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5.75" thickBot="1" x14ac:dyDescent="0.3">
      <c r="A5" s="21"/>
      <c r="B5" s="14"/>
      <c r="C5" s="14"/>
      <c r="D5" s="15"/>
      <c r="E5" s="14"/>
      <c r="F5" s="124"/>
      <c r="G5" s="125"/>
      <c r="H5" s="22">
        <v>1</v>
      </c>
      <c r="I5" s="22">
        <v>2</v>
      </c>
      <c r="J5" s="22">
        <v>3</v>
      </c>
      <c r="K5" s="22">
        <v>4</v>
      </c>
      <c r="L5" s="22">
        <v>1</v>
      </c>
      <c r="M5" s="22">
        <v>2</v>
      </c>
      <c r="N5" s="22">
        <v>3</v>
      </c>
      <c r="O5" s="22">
        <v>4</v>
      </c>
      <c r="P5" s="22">
        <v>1</v>
      </c>
      <c r="Q5" s="22">
        <v>2</v>
      </c>
      <c r="R5" s="22">
        <v>3</v>
      </c>
      <c r="S5" s="22">
        <v>4</v>
      </c>
      <c r="T5" s="14"/>
      <c r="U5" s="14"/>
      <c r="V5" s="14"/>
      <c r="W5" s="14"/>
      <c r="X5" s="14"/>
      <c r="Y5" s="14"/>
      <c r="Z5" s="14"/>
      <c r="AA5" s="20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x14ac:dyDescent="0.25">
      <c r="A6" s="21"/>
      <c r="B6" s="14"/>
      <c r="C6" s="14"/>
      <c r="D6" s="14"/>
      <c r="E6" s="128"/>
      <c r="F6" s="130" t="s">
        <v>11</v>
      </c>
      <c r="G6" s="23">
        <v>1</v>
      </c>
      <c r="H6" s="24">
        <v>1</v>
      </c>
      <c r="I6" s="24">
        <v>2</v>
      </c>
      <c r="J6" s="24">
        <v>3</v>
      </c>
      <c r="K6" s="24">
        <v>4</v>
      </c>
      <c r="L6" s="24">
        <v>1</v>
      </c>
      <c r="M6" s="24">
        <v>2</v>
      </c>
      <c r="N6" s="24">
        <v>3</v>
      </c>
      <c r="O6" s="24">
        <v>5</v>
      </c>
      <c r="P6" s="24">
        <v>3</v>
      </c>
      <c r="Q6" s="24">
        <v>3</v>
      </c>
      <c r="R6" s="24">
        <v>5</v>
      </c>
      <c r="S6" s="24">
        <v>6</v>
      </c>
      <c r="T6" s="14"/>
      <c r="U6" s="14"/>
      <c r="V6" s="14"/>
      <c r="W6" s="14"/>
      <c r="X6" s="14"/>
      <c r="Y6" s="14"/>
      <c r="Z6" s="14"/>
      <c r="AA6" s="20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5.75" thickBot="1" x14ac:dyDescent="0.3">
      <c r="A7" s="21"/>
      <c r="B7" s="14"/>
      <c r="C7" s="14"/>
      <c r="D7" s="14"/>
      <c r="E7" s="129"/>
      <c r="F7" s="130"/>
      <c r="G7" s="23">
        <v>2</v>
      </c>
      <c r="H7" s="24">
        <v>2</v>
      </c>
      <c r="I7" s="24">
        <v>3</v>
      </c>
      <c r="J7" s="24">
        <v>4</v>
      </c>
      <c r="K7" s="24">
        <v>5</v>
      </c>
      <c r="L7" s="24">
        <v>3</v>
      </c>
      <c r="M7" s="24">
        <v>4</v>
      </c>
      <c r="N7" s="24">
        <v>5</v>
      </c>
      <c r="O7" s="24">
        <v>6</v>
      </c>
      <c r="P7" s="24">
        <v>4</v>
      </c>
      <c r="Q7" s="24">
        <v>5</v>
      </c>
      <c r="R7" s="24">
        <v>6</v>
      </c>
      <c r="S7" s="24">
        <v>7</v>
      </c>
      <c r="T7" s="14"/>
      <c r="U7" s="14"/>
      <c r="V7" s="14"/>
      <c r="W7" s="14"/>
      <c r="X7" s="14"/>
      <c r="Y7" s="14"/>
      <c r="Z7" s="14"/>
      <c r="AA7" s="20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15.75" thickBot="1" x14ac:dyDescent="0.3">
      <c r="A8" s="25" t="s">
        <v>12</v>
      </c>
      <c r="B8" s="14"/>
      <c r="C8" s="14"/>
      <c r="D8" s="14"/>
      <c r="E8" s="15" t="s">
        <v>13</v>
      </c>
      <c r="F8" s="130"/>
      <c r="G8" s="23">
        <v>3</v>
      </c>
      <c r="H8" s="24">
        <v>2</v>
      </c>
      <c r="I8" s="24">
        <v>4</v>
      </c>
      <c r="J8" s="24">
        <v>5</v>
      </c>
      <c r="K8" s="24">
        <v>6</v>
      </c>
      <c r="L8" s="24">
        <v>4</v>
      </c>
      <c r="M8" s="24">
        <v>5</v>
      </c>
      <c r="N8" s="24">
        <v>6</v>
      </c>
      <c r="O8" s="24">
        <v>7</v>
      </c>
      <c r="P8" s="24">
        <v>5</v>
      </c>
      <c r="Q8" s="24">
        <v>6</v>
      </c>
      <c r="R8" s="24">
        <v>7</v>
      </c>
      <c r="S8" s="24">
        <v>8</v>
      </c>
      <c r="T8" s="14"/>
      <c r="U8" s="14"/>
      <c r="V8" s="14"/>
      <c r="W8" s="14"/>
      <c r="X8" s="14"/>
      <c r="Y8" s="14"/>
      <c r="Z8" s="14"/>
      <c r="AA8" s="20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x14ac:dyDescent="0.25">
      <c r="A9" s="25" t="s">
        <v>14</v>
      </c>
      <c r="B9" s="14"/>
      <c r="C9" s="14"/>
      <c r="D9" s="14"/>
      <c r="E9" s="15"/>
      <c r="F9" s="130"/>
      <c r="G9" s="23">
        <v>4</v>
      </c>
      <c r="H9" s="24">
        <v>3</v>
      </c>
      <c r="I9" s="24">
        <v>5</v>
      </c>
      <c r="J9" s="24">
        <v>6</v>
      </c>
      <c r="K9" s="24">
        <v>7</v>
      </c>
      <c r="L9" s="24">
        <v>5</v>
      </c>
      <c r="M9" s="24">
        <v>6</v>
      </c>
      <c r="N9" s="24">
        <v>7</v>
      </c>
      <c r="O9" s="24">
        <v>8</v>
      </c>
      <c r="P9" s="24">
        <v>6</v>
      </c>
      <c r="Q9" s="24">
        <v>7</v>
      </c>
      <c r="R9" s="24">
        <v>8</v>
      </c>
      <c r="S9" s="24">
        <v>9</v>
      </c>
      <c r="T9" s="14"/>
      <c r="U9" s="26" t="s">
        <v>15</v>
      </c>
      <c r="V9" s="14"/>
      <c r="W9" s="14"/>
      <c r="X9" s="14"/>
      <c r="Y9" s="14"/>
      <c r="Z9" s="131"/>
      <c r="AA9" s="20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15.75" thickBot="1" x14ac:dyDescent="0.3">
      <c r="A10" s="25" t="s">
        <v>16</v>
      </c>
      <c r="B10" s="14"/>
      <c r="C10" s="14"/>
      <c r="D10" s="14"/>
      <c r="E10" s="15"/>
      <c r="F10" s="130"/>
      <c r="G10" s="23">
        <v>5</v>
      </c>
      <c r="H10" s="24">
        <v>4</v>
      </c>
      <c r="I10" s="24">
        <v>6</v>
      </c>
      <c r="J10" s="24">
        <v>7</v>
      </c>
      <c r="K10" s="24">
        <v>8</v>
      </c>
      <c r="L10" s="24">
        <v>6</v>
      </c>
      <c r="M10" s="24">
        <v>7</v>
      </c>
      <c r="N10" s="24">
        <v>8</v>
      </c>
      <c r="O10" s="24">
        <v>9</v>
      </c>
      <c r="P10" s="24">
        <v>7</v>
      </c>
      <c r="Q10" s="24">
        <v>8</v>
      </c>
      <c r="R10" s="24">
        <v>9</v>
      </c>
      <c r="S10" s="24">
        <v>9</v>
      </c>
      <c r="T10" s="14"/>
      <c r="U10" s="26" t="s">
        <v>17</v>
      </c>
      <c r="V10" s="14"/>
      <c r="W10" s="14"/>
      <c r="X10" s="14"/>
      <c r="Y10" s="14"/>
      <c r="Z10" s="132"/>
      <c r="AA10" s="20"/>
      <c r="AC10" s="66"/>
      <c r="AD10" s="66"/>
      <c r="AM10" s="1"/>
    </row>
    <row r="11" spans="1:41" x14ac:dyDescent="0.25">
      <c r="A11" s="21"/>
      <c r="B11" s="14"/>
      <c r="C11" s="14"/>
      <c r="D11" s="15"/>
      <c r="E11" s="27"/>
      <c r="F11" s="28"/>
      <c r="G11" s="28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6"/>
      <c r="S11" s="26"/>
      <c r="T11" s="14"/>
      <c r="U11" s="26" t="s">
        <v>18</v>
      </c>
      <c r="V11" s="14"/>
      <c r="W11" s="14"/>
      <c r="X11" s="14"/>
      <c r="Y11" s="14"/>
      <c r="Z11" s="29" t="s">
        <v>19</v>
      </c>
      <c r="AA11" s="20"/>
      <c r="AC11" s="66"/>
      <c r="AD11" s="112"/>
      <c r="AE11" s="112"/>
      <c r="AF11" s="112"/>
      <c r="AG11" s="112"/>
      <c r="AH11" s="112"/>
      <c r="AI11" s="112"/>
      <c r="AM11" s="1"/>
    </row>
    <row r="12" spans="1:41" x14ac:dyDescent="0.25">
      <c r="A12" s="30" t="s">
        <v>20</v>
      </c>
      <c r="B12" s="14"/>
      <c r="C12" s="14"/>
      <c r="D12" s="15"/>
      <c r="E12" s="27"/>
      <c r="F12" s="124" t="s">
        <v>21</v>
      </c>
      <c r="G12" s="133" t="s">
        <v>22</v>
      </c>
      <c r="H12" s="133"/>
      <c r="I12" s="133"/>
      <c r="J12" s="133"/>
      <c r="K12" s="133"/>
      <c r="L12" s="133"/>
      <c r="M12" s="133"/>
      <c r="N12" s="28"/>
      <c r="O12" s="29"/>
      <c r="P12" s="29"/>
      <c r="Q12" s="29"/>
      <c r="R12" s="26"/>
      <c r="S12" s="26"/>
      <c r="T12" s="14"/>
      <c r="U12" s="26" t="s">
        <v>23</v>
      </c>
      <c r="V12" s="14"/>
      <c r="W12" s="14"/>
      <c r="X12" s="14"/>
      <c r="Y12" s="14"/>
      <c r="Z12" s="14"/>
      <c r="AA12" s="20"/>
      <c r="AD12" s="1"/>
      <c r="AE12" s="1"/>
      <c r="AF12" s="1"/>
      <c r="AG12" s="1"/>
      <c r="AH12" s="1"/>
      <c r="AI12" s="1"/>
      <c r="AM12" s="1"/>
    </row>
    <row r="13" spans="1:41" x14ac:dyDescent="0.25">
      <c r="A13" s="21"/>
      <c r="B13" s="14"/>
      <c r="C13" s="14"/>
      <c r="D13" s="15"/>
      <c r="E13" s="14"/>
      <c r="F13" s="124"/>
      <c r="G13" s="31"/>
      <c r="H13" s="133">
        <v>1</v>
      </c>
      <c r="I13" s="133"/>
      <c r="J13" s="133"/>
      <c r="K13" s="133">
        <v>2</v>
      </c>
      <c r="L13" s="133"/>
      <c r="M13" s="133"/>
      <c r="N13" s="29"/>
      <c r="O13" s="29"/>
      <c r="P13" s="29"/>
      <c r="Q13" s="29"/>
      <c r="R13" s="26"/>
      <c r="S13" s="26"/>
      <c r="T13" s="14"/>
      <c r="U13" s="14"/>
      <c r="V13" s="14"/>
      <c r="W13" s="14"/>
      <c r="X13" s="14"/>
      <c r="Y13" s="14"/>
      <c r="Z13" s="14"/>
      <c r="AA13" s="20"/>
      <c r="AD13" s="1"/>
      <c r="AE13" s="1"/>
      <c r="AF13" s="1"/>
      <c r="AG13" s="1"/>
      <c r="AH13" s="1"/>
      <c r="AI13" s="1"/>
      <c r="AM13" s="1"/>
    </row>
    <row r="14" spans="1:41" x14ac:dyDescent="0.25">
      <c r="A14" s="21"/>
      <c r="B14" s="14"/>
      <c r="C14" s="14"/>
      <c r="D14" s="15"/>
      <c r="E14" s="15"/>
      <c r="F14" s="124"/>
      <c r="G14" s="134" t="s">
        <v>24</v>
      </c>
      <c r="H14" s="135"/>
      <c r="I14" s="135"/>
      <c r="J14" s="135"/>
      <c r="K14" s="135"/>
      <c r="L14" s="135"/>
      <c r="M14" s="135"/>
      <c r="N14" s="29"/>
      <c r="O14" s="29"/>
      <c r="P14" s="29"/>
      <c r="Q14" s="29"/>
      <c r="R14" s="26"/>
      <c r="S14" s="26"/>
      <c r="T14" s="14"/>
      <c r="U14" s="14"/>
      <c r="V14" s="14"/>
      <c r="W14" s="14"/>
      <c r="X14" s="14"/>
      <c r="Y14" s="14"/>
      <c r="Z14" s="14"/>
      <c r="AA14" s="20"/>
      <c r="AD14" s="1"/>
      <c r="AE14" s="1"/>
      <c r="AF14" s="1"/>
      <c r="AG14" s="1"/>
      <c r="AH14" s="1"/>
      <c r="AI14" s="1"/>
      <c r="AM14" s="1"/>
    </row>
    <row r="15" spans="1:41" x14ac:dyDescent="0.25">
      <c r="A15" s="21"/>
      <c r="B15" s="14"/>
      <c r="C15" s="14"/>
      <c r="D15" s="15"/>
      <c r="E15" s="14"/>
      <c r="F15" s="124"/>
      <c r="G15" s="134"/>
      <c r="H15" s="32">
        <v>1</v>
      </c>
      <c r="I15" s="32">
        <v>2</v>
      </c>
      <c r="J15" s="32">
        <v>3</v>
      </c>
      <c r="K15" s="32">
        <v>1</v>
      </c>
      <c r="L15" s="32">
        <v>2</v>
      </c>
      <c r="M15" s="32">
        <v>3</v>
      </c>
      <c r="N15" s="28"/>
      <c r="O15" s="29"/>
      <c r="P15" s="29"/>
      <c r="Q15" s="29"/>
      <c r="R15" s="26"/>
      <c r="S15" s="26"/>
      <c r="T15" s="14"/>
      <c r="U15" s="19" t="s">
        <v>25</v>
      </c>
      <c r="V15" s="14"/>
      <c r="W15" s="14"/>
      <c r="X15" s="14"/>
      <c r="Y15" s="14"/>
      <c r="Z15" s="14"/>
      <c r="AA15" s="20"/>
      <c r="AD15" s="1"/>
      <c r="AE15" s="1"/>
      <c r="AF15" s="1"/>
      <c r="AG15" s="1"/>
      <c r="AH15" s="1"/>
      <c r="AI15" s="1"/>
      <c r="AM15" s="1"/>
    </row>
    <row r="16" spans="1:41" ht="15.75" thickBot="1" x14ac:dyDescent="0.3">
      <c r="A16" s="21"/>
      <c r="B16" s="14"/>
      <c r="C16" s="14"/>
      <c r="D16" s="15"/>
      <c r="E16" s="14"/>
      <c r="F16" s="136" t="s">
        <v>19</v>
      </c>
      <c r="G16" s="33">
        <v>1</v>
      </c>
      <c r="H16" s="17">
        <v>1</v>
      </c>
      <c r="I16" s="17">
        <v>2</v>
      </c>
      <c r="J16" s="17">
        <v>2</v>
      </c>
      <c r="K16" s="17">
        <v>1</v>
      </c>
      <c r="L16" s="17">
        <v>2</v>
      </c>
      <c r="M16" s="17">
        <v>3</v>
      </c>
      <c r="N16" s="29"/>
      <c r="O16" s="29"/>
      <c r="P16" s="29"/>
      <c r="Q16" s="29"/>
      <c r="R16" s="26"/>
      <c r="S16" s="26"/>
      <c r="T16" s="14"/>
      <c r="U16" s="14"/>
      <c r="V16" s="14"/>
      <c r="W16" s="14"/>
      <c r="X16" s="14"/>
      <c r="Y16" s="14"/>
      <c r="Z16" s="14"/>
      <c r="AA16" s="20"/>
      <c r="AD16" s="1"/>
      <c r="AE16" s="1"/>
      <c r="AF16" s="1"/>
      <c r="AG16" s="1"/>
      <c r="AH16" s="1"/>
      <c r="AI16" s="1"/>
      <c r="AM16" s="1"/>
    </row>
    <row r="17" spans="1:42" ht="15.75" thickBot="1" x14ac:dyDescent="0.3">
      <c r="A17" s="21"/>
      <c r="B17" s="14"/>
      <c r="C17" s="14"/>
      <c r="D17" s="15"/>
      <c r="E17" s="14"/>
      <c r="F17" s="136"/>
      <c r="G17" s="33">
        <v>2</v>
      </c>
      <c r="H17" s="17">
        <v>1</v>
      </c>
      <c r="I17" s="17">
        <v>2</v>
      </c>
      <c r="J17" s="17">
        <v>3</v>
      </c>
      <c r="K17" s="17">
        <v>2</v>
      </c>
      <c r="L17" s="17">
        <v>3</v>
      </c>
      <c r="M17" s="17">
        <v>4</v>
      </c>
      <c r="N17" s="29"/>
      <c r="O17" s="29"/>
      <c r="P17" s="29"/>
      <c r="Q17" s="29"/>
      <c r="R17" s="26"/>
      <c r="S17" s="26"/>
      <c r="T17" s="14"/>
      <c r="U17" s="14"/>
      <c r="V17" s="14"/>
      <c r="W17" s="14"/>
      <c r="X17" s="14"/>
      <c r="Y17" s="14"/>
      <c r="Z17" s="145"/>
      <c r="AA17" s="20"/>
      <c r="AD17" s="1"/>
      <c r="AE17" s="1"/>
      <c r="AF17" s="1"/>
      <c r="AG17" s="1"/>
      <c r="AH17" s="1"/>
      <c r="AI17" s="1"/>
      <c r="AM17" s="1"/>
    </row>
    <row r="18" spans="1:42" ht="15.75" thickBot="1" x14ac:dyDescent="0.3">
      <c r="A18" s="25" t="s">
        <v>26</v>
      </c>
      <c r="B18" s="14"/>
      <c r="C18" s="14"/>
      <c r="D18" s="14"/>
      <c r="E18" s="137"/>
      <c r="F18" s="136"/>
      <c r="G18" s="33">
        <v>3</v>
      </c>
      <c r="H18" s="17">
        <v>3</v>
      </c>
      <c r="I18" s="17">
        <v>4</v>
      </c>
      <c r="J18" s="17">
        <v>5</v>
      </c>
      <c r="K18" s="17">
        <v>4</v>
      </c>
      <c r="L18" s="17">
        <v>5</v>
      </c>
      <c r="M18" s="17">
        <v>5</v>
      </c>
      <c r="N18" s="29"/>
      <c r="O18" s="29"/>
      <c r="P18" s="29"/>
      <c r="Q18" s="29"/>
      <c r="R18" s="26"/>
      <c r="S18" s="26"/>
      <c r="T18" s="14"/>
      <c r="U18" s="14"/>
      <c r="V18" s="14"/>
      <c r="W18" s="14"/>
      <c r="X18" s="14"/>
      <c r="Y18" s="14"/>
      <c r="Z18" s="146"/>
      <c r="AA18" s="20"/>
      <c r="AD18" s="1"/>
      <c r="AE18" s="1"/>
      <c r="AF18" s="1"/>
      <c r="AG18" s="1"/>
      <c r="AH18" s="1"/>
      <c r="AI18" s="1"/>
      <c r="AM18" s="1"/>
    </row>
    <row r="19" spans="1:42" ht="15.75" thickBot="1" x14ac:dyDescent="0.3">
      <c r="A19" s="25" t="s">
        <v>27</v>
      </c>
      <c r="B19" s="14"/>
      <c r="C19" s="14"/>
      <c r="D19" s="14"/>
      <c r="E19" s="138"/>
      <c r="F19" s="136"/>
      <c r="G19" s="33">
        <v>4</v>
      </c>
      <c r="H19" s="17">
        <v>4</v>
      </c>
      <c r="I19" s="17">
        <v>5</v>
      </c>
      <c r="J19" s="17">
        <v>5</v>
      </c>
      <c r="K19" s="17">
        <v>5</v>
      </c>
      <c r="L19" s="17">
        <v>6</v>
      </c>
      <c r="M19" s="17">
        <v>7</v>
      </c>
      <c r="N19" s="29"/>
      <c r="O19" s="29"/>
      <c r="P19" s="29"/>
      <c r="Q19" s="29"/>
      <c r="R19" s="26"/>
      <c r="S19" s="26"/>
      <c r="T19" s="14"/>
      <c r="U19" s="14"/>
      <c r="V19" s="14"/>
      <c r="W19" s="14"/>
      <c r="X19" s="14"/>
      <c r="Y19" s="14"/>
      <c r="Z19" s="29" t="s">
        <v>28</v>
      </c>
      <c r="AA19" s="20"/>
    </row>
    <row r="20" spans="1:42" x14ac:dyDescent="0.25">
      <c r="A20" s="25" t="s">
        <v>29</v>
      </c>
      <c r="B20" s="14"/>
      <c r="C20" s="14"/>
      <c r="D20" s="14"/>
      <c r="E20" s="29" t="s">
        <v>30</v>
      </c>
      <c r="F20" s="136"/>
      <c r="G20" s="33">
        <v>5</v>
      </c>
      <c r="H20" s="17">
        <v>6</v>
      </c>
      <c r="I20" s="17">
        <v>7</v>
      </c>
      <c r="J20" s="17">
        <v>8</v>
      </c>
      <c r="K20" s="17">
        <v>7</v>
      </c>
      <c r="L20" s="17">
        <v>8</v>
      </c>
      <c r="M20" s="17">
        <v>8</v>
      </c>
      <c r="N20" s="29"/>
      <c r="O20" s="29"/>
      <c r="P20" s="29"/>
      <c r="Q20" s="29"/>
      <c r="R20" s="26"/>
      <c r="S20" s="26"/>
      <c r="T20" s="14"/>
      <c r="U20" s="14"/>
      <c r="V20" s="14"/>
      <c r="W20" s="14"/>
      <c r="X20" s="14"/>
      <c r="Y20" s="14"/>
      <c r="Z20" s="14"/>
      <c r="AA20" s="20"/>
      <c r="AD20" s="66"/>
      <c r="AE20" s="66"/>
    </row>
    <row r="21" spans="1:42" x14ac:dyDescent="0.25">
      <c r="A21" s="21"/>
      <c r="B21" s="15"/>
      <c r="C21" s="14"/>
      <c r="D21" s="15"/>
      <c r="E21" s="14"/>
      <c r="F21" s="136"/>
      <c r="G21" s="33">
        <v>6</v>
      </c>
      <c r="H21" s="17">
        <v>7</v>
      </c>
      <c r="I21" s="17">
        <v>8</v>
      </c>
      <c r="J21" s="17">
        <v>8</v>
      </c>
      <c r="K21" s="17">
        <v>8</v>
      </c>
      <c r="L21" s="17">
        <v>9</v>
      </c>
      <c r="M21" s="17">
        <v>9</v>
      </c>
      <c r="N21" s="29"/>
      <c r="O21" s="29"/>
      <c r="P21" s="29"/>
      <c r="Q21" s="29"/>
      <c r="R21" s="26"/>
      <c r="S21" s="26"/>
      <c r="T21" s="14"/>
      <c r="U21" s="14"/>
      <c r="V21" s="14"/>
      <c r="W21" s="14"/>
      <c r="X21" s="14"/>
      <c r="Y21" s="14"/>
      <c r="Z21" s="14"/>
      <c r="AA21" s="20"/>
      <c r="AC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x14ac:dyDescent="0.25">
      <c r="A22" s="30" t="s">
        <v>31</v>
      </c>
      <c r="B22" s="14"/>
      <c r="C22" s="14"/>
      <c r="D22" s="15"/>
      <c r="E22" s="14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6"/>
      <c r="S22" s="26"/>
      <c r="T22" s="14"/>
      <c r="U22" s="19" t="s">
        <v>32</v>
      </c>
      <c r="V22" s="14"/>
      <c r="W22" s="14"/>
      <c r="X22" s="14"/>
      <c r="Y22" s="14"/>
      <c r="Z22" s="14"/>
      <c r="AA22" s="20"/>
      <c r="AC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15.75" thickBot="1" x14ac:dyDescent="0.3">
      <c r="A23" s="21"/>
      <c r="B23" s="15"/>
      <c r="C23" s="14"/>
      <c r="D23" s="15"/>
      <c r="E23" s="14"/>
      <c r="F23" s="139" t="s">
        <v>33</v>
      </c>
      <c r="G23" s="124" t="s">
        <v>34</v>
      </c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26"/>
      <c r="T23" s="14"/>
      <c r="U23" s="14"/>
      <c r="V23" s="14"/>
      <c r="W23" s="14"/>
      <c r="X23" s="14"/>
      <c r="Y23" s="14"/>
      <c r="Z23" s="14"/>
      <c r="AA23" s="20"/>
      <c r="AC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15.75" thickBot="1" x14ac:dyDescent="0.3">
      <c r="A24" s="21"/>
      <c r="B24" s="14"/>
      <c r="C24" s="14"/>
      <c r="D24" s="15"/>
      <c r="E24" s="14"/>
      <c r="F24" s="139"/>
      <c r="G24" s="140" t="s">
        <v>35</v>
      </c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26"/>
      <c r="T24" s="14"/>
      <c r="U24" s="14"/>
      <c r="V24" s="14"/>
      <c r="W24" s="14"/>
      <c r="X24" s="14"/>
      <c r="Y24" s="14"/>
      <c r="Z24" s="141"/>
      <c r="AA24" s="20"/>
      <c r="AC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15.75" thickBot="1" x14ac:dyDescent="0.3">
      <c r="A25" s="21"/>
      <c r="B25" s="14"/>
      <c r="C25" s="14"/>
      <c r="D25" s="14"/>
      <c r="E25" s="143"/>
      <c r="F25" s="139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26"/>
      <c r="T25" s="14"/>
      <c r="U25" s="14"/>
      <c r="V25" s="14"/>
      <c r="W25" s="14"/>
      <c r="X25" s="14"/>
      <c r="Y25" s="14"/>
      <c r="Z25" s="142"/>
      <c r="AA25" s="20"/>
      <c r="AC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5.75" thickBot="1" x14ac:dyDescent="0.3">
      <c r="A26" s="21"/>
      <c r="B26" s="14"/>
      <c r="C26" s="14"/>
      <c r="D26" s="14"/>
      <c r="E26" s="144"/>
      <c r="F26" s="139"/>
      <c r="G26" s="34">
        <v>1</v>
      </c>
      <c r="H26" s="34">
        <v>2</v>
      </c>
      <c r="I26" s="34">
        <v>3</v>
      </c>
      <c r="J26" s="34">
        <v>4</v>
      </c>
      <c r="K26" s="34">
        <v>5</v>
      </c>
      <c r="L26" s="34">
        <v>6</v>
      </c>
      <c r="M26" s="34">
        <v>7</v>
      </c>
      <c r="N26" s="34">
        <v>8</v>
      </c>
      <c r="O26" s="34">
        <v>9</v>
      </c>
      <c r="P26" s="34">
        <v>10</v>
      </c>
      <c r="Q26" s="34">
        <v>11</v>
      </c>
      <c r="R26" s="35">
        <v>12</v>
      </c>
      <c r="S26" s="26"/>
      <c r="T26" s="14"/>
      <c r="U26" s="14"/>
      <c r="V26" s="14"/>
      <c r="W26" s="14"/>
      <c r="X26" s="14"/>
      <c r="Y26" s="14"/>
      <c r="Z26" s="26" t="s">
        <v>36</v>
      </c>
      <c r="AA26" s="20"/>
      <c r="AC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15.75" thickBot="1" x14ac:dyDescent="0.3">
      <c r="A27" s="21"/>
      <c r="B27" s="14"/>
      <c r="C27" s="14"/>
      <c r="D27" s="14"/>
      <c r="E27" s="29" t="s">
        <v>37</v>
      </c>
      <c r="F27" s="36">
        <v>1</v>
      </c>
      <c r="G27" s="64">
        <v>1</v>
      </c>
      <c r="H27" s="64">
        <v>1</v>
      </c>
      <c r="I27" s="64">
        <v>1</v>
      </c>
      <c r="J27" s="64">
        <v>2</v>
      </c>
      <c r="K27" s="64">
        <v>3</v>
      </c>
      <c r="L27" s="64">
        <v>3</v>
      </c>
      <c r="M27" s="64">
        <v>4</v>
      </c>
      <c r="N27" s="64">
        <v>5</v>
      </c>
      <c r="O27" s="64">
        <v>6</v>
      </c>
      <c r="P27" s="64">
        <v>7</v>
      </c>
      <c r="Q27" s="64">
        <v>7</v>
      </c>
      <c r="R27" s="64">
        <v>7</v>
      </c>
      <c r="S27" s="26"/>
      <c r="T27" s="14"/>
      <c r="U27" s="26" t="s">
        <v>38</v>
      </c>
      <c r="V27" s="14"/>
      <c r="W27" s="14"/>
      <c r="X27" s="14"/>
      <c r="Y27" s="14"/>
      <c r="Z27" s="14"/>
      <c r="AA27" s="20"/>
      <c r="AC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x14ac:dyDescent="0.25">
      <c r="A28" s="21"/>
      <c r="B28" s="14"/>
      <c r="C28" s="14"/>
      <c r="D28" s="15"/>
      <c r="E28" s="14"/>
      <c r="F28" s="36">
        <v>2</v>
      </c>
      <c r="G28" s="64">
        <v>1</v>
      </c>
      <c r="H28" s="64">
        <v>2</v>
      </c>
      <c r="I28" s="64">
        <v>2</v>
      </c>
      <c r="J28" s="64">
        <v>3</v>
      </c>
      <c r="K28" s="64">
        <v>4</v>
      </c>
      <c r="L28" s="64">
        <v>4</v>
      </c>
      <c r="M28" s="64">
        <v>5</v>
      </c>
      <c r="N28" s="64">
        <v>6</v>
      </c>
      <c r="O28" s="64">
        <v>6</v>
      </c>
      <c r="P28" s="64">
        <v>7</v>
      </c>
      <c r="Q28" s="64">
        <v>7</v>
      </c>
      <c r="R28" s="64">
        <v>8</v>
      </c>
      <c r="S28" s="26"/>
      <c r="T28" s="14"/>
      <c r="U28" s="26" t="s">
        <v>39</v>
      </c>
      <c r="V28" s="14"/>
      <c r="W28" s="14"/>
      <c r="X28" s="14"/>
      <c r="Y28" s="14"/>
      <c r="Z28" s="155">
        <f>Extra!F2</f>
        <v>2.3846153846153846</v>
      </c>
      <c r="AA28" s="20"/>
      <c r="AC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15.75" thickBot="1" x14ac:dyDescent="0.3">
      <c r="A29" s="21"/>
      <c r="B29" s="14"/>
      <c r="C29" s="14"/>
      <c r="D29" s="15"/>
      <c r="E29" s="14"/>
      <c r="F29" s="36">
        <v>3</v>
      </c>
      <c r="G29" s="64">
        <v>2</v>
      </c>
      <c r="H29" s="64">
        <v>3</v>
      </c>
      <c r="I29" s="64">
        <v>3</v>
      </c>
      <c r="J29" s="64">
        <v>3</v>
      </c>
      <c r="K29" s="64">
        <v>4</v>
      </c>
      <c r="L29" s="64">
        <v>5</v>
      </c>
      <c r="M29" s="64">
        <v>6</v>
      </c>
      <c r="N29" s="64">
        <v>7</v>
      </c>
      <c r="O29" s="64">
        <v>7</v>
      </c>
      <c r="P29" s="64">
        <v>8</v>
      </c>
      <c r="Q29" s="64">
        <v>8</v>
      </c>
      <c r="R29" s="64">
        <v>8</v>
      </c>
      <c r="S29" s="26"/>
      <c r="T29" s="14"/>
      <c r="U29" s="19" t="s">
        <v>40</v>
      </c>
      <c r="V29" s="14"/>
      <c r="W29" s="14"/>
      <c r="X29" s="14"/>
      <c r="Y29" s="14"/>
      <c r="Z29" s="156"/>
      <c r="AA29" s="20"/>
      <c r="AC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x14ac:dyDescent="0.25">
      <c r="A30" s="37" t="s">
        <v>41</v>
      </c>
      <c r="B30" s="14"/>
      <c r="C30" s="14"/>
      <c r="D30" s="14"/>
      <c r="E30" s="157">
        <f>Extra!A2</f>
        <v>4.7307692307692308</v>
      </c>
      <c r="F30" s="36">
        <v>4</v>
      </c>
      <c r="G30" s="64">
        <v>3</v>
      </c>
      <c r="H30" s="64">
        <v>4</v>
      </c>
      <c r="I30" s="64">
        <v>4</v>
      </c>
      <c r="J30" s="64">
        <v>4</v>
      </c>
      <c r="K30" s="64">
        <v>5</v>
      </c>
      <c r="L30" s="64">
        <v>6</v>
      </c>
      <c r="M30" s="64">
        <v>7</v>
      </c>
      <c r="N30" s="64">
        <v>8</v>
      </c>
      <c r="O30" s="64">
        <v>8</v>
      </c>
      <c r="P30" s="64">
        <v>9</v>
      </c>
      <c r="Q30" s="64">
        <v>9</v>
      </c>
      <c r="R30" s="64">
        <v>9</v>
      </c>
      <c r="S30" s="26"/>
      <c r="T30" s="14"/>
      <c r="U30" s="26" t="s">
        <v>42</v>
      </c>
      <c r="V30" s="14"/>
      <c r="W30" s="14"/>
      <c r="X30" s="14"/>
      <c r="Y30" s="14"/>
      <c r="Z30" s="29" t="s">
        <v>43</v>
      </c>
      <c r="AA30" s="20"/>
      <c r="AC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21" thickBot="1" x14ac:dyDescent="0.3">
      <c r="A31" s="25" t="s">
        <v>44</v>
      </c>
      <c r="B31" s="14"/>
      <c r="C31" s="14"/>
      <c r="D31" s="14"/>
      <c r="E31" s="158"/>
      <c r="F31" s="36">
        <v>5</v>
      </c>
      <c r="G31" s="64">
        <v>4</v>
      </c>
      <c r="H31" s="64">
        <v>4</v>
      </c>
      <c r="I31" s="64">
        <v>4</v>
      </c>
      <c r="J31" s="64">
        <v>5</v>
      </c>
      <c r="K31" s="64">
        <v>6</v>
      </c>
      <c r="L31" s="64">
        <v>7</v>
      </c>
      <c r="M31" s="64">
        <v>8</v>
      </c>
      <c r="N31" s="64">
        <v>8</v>
      </c>
      <c r="O31" s="64">
        <v>9</v>
      </c>
      <c r="P31" s="64">
        <v>9</v>
      </c>
      <c r="Q31" s="64">
        <v>9</v>
      </c>
      <c r="R31" s="64">
        <v>9</v>
      </c>
      <c r="S31" s="26"/>
      <c r="T31" s="14"/>
      <c r="U31" s="19" t="s">
        <v>45</v>
      </c>
      <c r="V31" s="14"/>
      <c r="W31" s="14"/>
      <c r="X31" s="14"/>
      <c r="Y31" s="14"/>
      <c r="Z31" s="38" t="s">
        <v>46</v>
      </c>
      <c r="AA31" s="20"/>
      <c r="AC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x14ac:dyDescent="0.25">
      <c r="A32" s="25" t="s">
        <v>7</v>
      </c>
      <c r="B32" s="14"/>
      <c r="C32" s="14"/>
      <c r="D32" s="14"/>
      <c r="E32" s="29" t="s">
        <v>47</v>
      </c>
      <c r="F32" s="36">
        <v>6</v>
      </c>
      <c r="G32" s="64">
        <v>6</v>
      </c>
      <c r="H32" s="64">
        <v>6</v>
      </c>
      <c r="I32" s="64">
        <v>6</v>
      </c>
      <c r="J32" s="64">
        <v>7</v>
      </c>
      <c r="K32" s="64">
        <v>8</v>
      </c>
      <c r="L32" s="64">
        <v>8</v>
      </c>
      <c r="M32" s="64">
        <v>9</v>
      </c>
      <c r="N32" s="64">
        <v>9</v>
      </c>
      <c r="O32" s="64">
        <v>10</v>
      </c>
      <c r="P32" s="64">
        <v>10</v>
      </c>
      <c r="Q32" s="64">
        <v>10</v>
      </c>
      <c r="R32" s="64">
        <v>10</v>
      </c>
      <c r="S32" s="26"/>
      <c r="T32" s="14"/>
      <c r="U32" s="26" t="s">
        <v>48</v>
      </c>
      <c r="V32" s="14"/>
      <c r="W32" s="14"/>
      <c r="X32" s="14"/>
      <c r="Y32" s="14"/>
      <c r="Z32" s="159">
        <f>Extra!H2</f>
        <v>0</v>
      </c>
      <c r="AA32" s="20"/>
      <c r="AC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21" thickBot="1" x14ac:dyDescent="0.3">
      <c r="A33" s="39"/>
      <c r="B33" s="15"/>
      <c r="C33" s="14"/>
      <c r="D33" s="14"/>
      <c r="E33" s="38" t="s">
        <v>46</v>
      </c>
      <c r="F33" s="36">
        <v>7</v>
      </c>
      <c r="G33" s="64">
        <v>7</v>
      </c>
      <c r="H33" s="64">
        <v>7</v>
      </c>
      <c r="I33" s="64">
        <v>7</v>
      </c>
      <c r="J33" s="64">
        <v>8</v>
      </c>
      <c r="K33" s="64">
        <v>9</v>
      </c>
      <c r="L33" s="64">
        <v>9</v>
      </c>
      <c r="M33" s="64">
        <v>9</v>
      </c>
      <c r="N33" s="64">
        <v>10</v>
      </c>
      <c r="O33" s="64">
        <v>10</v>
      </c>
      <c r="P33" s="64">
        <v>11</v>
      </c>
      <c r="Q33" s="64">
        <v>11</v>
      </c>
      <c r="R33" s="64">
        <v>11</v>
      </c>
      <c r="S33" s="26"/>
      <c r="T33" s="14"/>
      <c r="U33" s="26" t="s">
        <v>49</v>
      </c>
      <c r="V33" s="14"/>
      <c r="W33" s="14"/>
      <c r="X33" s="14"/>
      <c r="Y33" s="14"/>
      <c r="Z33" s="160"/>
      <c r="AA33" s="20"/>
      <c r="AC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x14ac:dyDescent="0.25">
      <c r="A34" s="37" t="s">
        <v>50</v>
      </c>
      <c r="B34" s="15"/>
      <c r="C34" s="14"/>
      <c r="D34" s="14"/>
      <c r="E34" s="159">
        <f>Extra!C2</f>
        <v>0</v>
      </c>
      <c r="F34" s="36">
        <v>8</v>
      </c>
      <c r="G34" s="64">
        <v>8</v>
      </c>
      <c r="H34" s="64">
        <v>8</v>
      </c>
      <c r="I34" s="64">
        <v>8</v>
      </c>
      <c r="J34" s="64">
        <v>9</v>
      </c>
      <c r="K34" s="64">
        <v>10</v>
      </c>
      <c r="L34" s="64">
        <v>10</v>
      </c>
      <c r="M34" s="64">
        <v>10</v>
      </c>
      <c r="N34" s="64">
        <v>10</v>
      </c>
      <c r="O34" s="64">
        <v>10</v>
      </c>
      <c r="P34" s="64">
        <v>11</v>
      </c>
      <c r="Q34" s="64">
        <v>11</v>
      </c>
      <c r="R34" s="64">
        <v>11</v>
      </c>
      <c r="S34" s="26"/>
      <c r="T34" s="14"/>
      <c r="U34" s="26" t="s">
        <v>51</v>
      </c>
      <c r="V34" s="14"/>
      <c r="W34" s="14"/>
      <c r="X34" s="14"/>
      <c r="Y34" s="14"/>
      <c r="Z34" s="26" t="s">
        <v>52</v>
      </c>
      <c r="AA34" s="20"/>
    </row>
    <row r="35" spans="1:42" ht="15.75" thickBot="1" x14ac:dyDescent="0.3">
      <c r="A35" s="25" t="s">
        <v>53</v>
      </c>
      <c r="B35" s="15"/>
      <c r="C35" s="14"/>
      <c r="D35" s="14"/>
      <c r="E35" s="160"/>
      <c r="F35" s="36">
        <v>9</v>
      </c>
      <c r="G35" s="64">
        <v>9</v>
      </c>
      <c r="H35" s="64">
        <v>9</v>
      </c>
      <c r="I35" s="64">
        <v>9</v>
      </c>
      <c r="J35" s="64">
        <v>10</v>
      </c>
      <c r="K35" s="64">
        <v>10</v>
      </c>
      <c r="L35" s="64">
        <v>10</v>
      </c>
      <c r="M35" s="64">
        <v>11</v>
      </c>
      <c r="N35" s="64">
        <v>11</v>
      </c>
      <c r="O35" s="64">
        <v>11</v>
      </c>
      <c r="P35" s="64">
        <v>12</v>
      </c>
      <c r="Q35" s="64">
        <v>12</v>
      </c>
      <c r="R35" s="64">
        <v>12</v>
      </c>
      <c r="S35" s="26"/>
      <c r="T35" s="14"/>
      <c r="U35" s="26" t="s">
        <v>54</v>
      </c>
      <c r="V35" s="14"/>
      <c r="W35" s="14"/>
      <c r="X35" s="14"/>
      <c r="Y35" s="14"/>
      <c r="Z35" s="14"/>
      <c r="AA35" s="20"/>
    </row>
    <row r="36" spans="1:42" ht="20.25" x14ac:dyDescent="0.25">
      <c r="A36" s="25" t="s">
        <v>55</v>
      </c>
      <c r="B36" s="15"/>
      <c r="C36" s="14"/>
      <c r="D36" s="14"/>
      <c r="E36" s="29" t="s">
        <v>56</v>
      </c>
      <c r="F36" s="36">
        <v>10</v>
      </c>
      <c r="G36" s="64">
        <v>10</v>
      </c>
      <c r="H36" s="64">
        <v>10</v>
      </c>
      <c r="I36" s="64">
        <v>10</v>
      </c>
      <c r="J36" s="64">
        <v>11</v>
      </c>
      <c r="K36" s="64">
        <v>11</v>
      </c>
      <c r="L36" s="64">
        <v>11</v>
      </c>
      <c r="M36" s="64">
        <v>11</v>
      </c>
      <c r="N36" s="64">
        <v>12</v>
      </c>
      <c r="O36" s="64">
        <v>12</v>
      </c>
      <c r="P36" s="64">
        <v>12</v>
      </c>
      <c r="Q36" s="64">
        <v>12</v>
      </c>
      <c r="R36" s="64">
        <v>12</v>
      </c>
      <c r="S36" s="26"/>
      <c r="T36" s="14"/>
      <c r="U36" s="26" t="s">
        <v>57</v>
      </c>
      <c r="V36" s="14"/>
      <c r="W36" s="14"/>
      <c r="X36" s="14"/>
      <c r="Y36" s="14"/>
      <c r="Z36" s="38" t="s">
        <v>58</v>
      </c>
      <c r="AA36" s="20"/>
    </row>
    <row r="37" spans="1:42" ht="15.75" thickBot="1" x14ac:dyDescent="0.3">
      <c r="A37" s="39" t="s">
        <v>59</v>
      </c>
      <c r="B37" s="14"/>
      <c r="C37" s="15"/>
      <c r="D37" s="14"/>
      <c r="E37" s="15"/>
      <c r="F37" s="36">
        <v>11</v>
      </c>
      <c r="G37" s="64">
        <v>11</v>
      </c>
      <c r="H37" s="64">
        <v>11</v>
      </c>
      <c r="I37" s="64">
        <v>11</v>
      </c>
      <c r="J37" s="64">
        <v>11</v>
      </c>
      <c r="K37" s="64">
        <v>11</v>
      </c>
      <c r="L37" s="64">
        <v>12</v>
      </c>
      <c r="M37" s="64">
        <v>12</v>
      </c>
      <c r="N37" s="64">
        <v>12</v>
      </c>
      <c r="O37" s="64">
        <v>12</v>
      </c>
      <c r="P37" s="64">
        <v>12</v>
      </c>
      <c r="Q37" s="64">
        <v>12</v>
      </c>
      <c r="R37" s="64">
        <v>12</v>
      </c>
      <c r="S37" s="26"/>
      <c r="T37" s="14"/>
      <c r="U37" s="26" t="s">
        <v>60</v>
      </c>
      <c r="V37" s="14"/>
      <c r="W37" s="14"/>
      <c r="X37" s="14"/>
      <c r="Y37" s="14"/>
      <c r="Z37" s="14"/>
      <c r="AA37" s="20"/>
    </row>
    <row r="38" spans="1:42" ht="21" thickBot="1" x14ac:dyDescent="0.3">
      <c r="A38" s="39" t="s">
        <v>61</v>
      </c>
      <c r="B38" s="14"/>
      <c r="C38" s="15"/>
      <c r="D38" s="14"/>
      <c r="E38" s="38" t="s">
        <v>58</v>
      </c>
      <c r="F38" s="36">
        <v>12</v>
      </c>
      <c r="G38" s="64">
        <v>12</v>
      </c>
      <c r="H38" s="64">
        <v>12</v>
      </c>
      <c r="I38" s="64">
        <v>12</v>
      </c>
      <c r="J38" s="64">
        <v>12</v>
      </c>
      <c r="K38" s="64">
        <v>12</v>
      </c>
      <c r="L38" s="64">
        <v>12</v>
      </c>
      <c r="M38" s="64">
        <v>12</v>
      </c>
      <c r="N38" s="64">
        <v>12</v>
      </c>
      <c r="O38" s="64">
        <v>12</v>
      </c>
      <c r="P38" s="64">
        <v>12</v>
      </c>
      <c r="Q38" s="64">
        <v>12</v>
      </c>
      <c r="R38" s="64">
        <v>12</v>
      </c>
      <c r="S38" s="26"/>
      <c r="T38" s="14"/>
      <c r="U38" s="19" t="s">
        <v>62</v>
      </c>
      <c r="V38" s="14"/>
      <c r="W38" s="14"/>
      <c r="X38" s="14"/>
      <c r="Y38" s="14"/>
      <c r="Z38" s="161">
        <f>Extra!I2</f>
        <v>2.3846153846153846</v>
      </c>
      <c r="AA38" s="20"/>
    </row>
    <row r="39" spans="1:42" ht="15.75" thickBot="1" x14ac:dyDescent="0.3">
      <c r="A39" s="37" t="s">
        <v>63</v>
      </c>
      <c r="B39" s="14"/>
      <c r="C39" s="15"/>
      <c r="D39" s="14"/>
      <c r="E39" s="163">
        <f>Extra!D2</f>
        <v>4.7307692307692308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4"/>
      <c r="S39" s="14"/>
      <c r="T39" s="14"/>
      <c r="U39" s="26" t="s">
        <v>64</v>
      </c>
      <c r="V39" s="14"/>
      <c r="W39" s="14"/>
      <c r="X39" s="14"/>
      <c r="Y39" s="14"/>
      <c r="Z39" s="162"/>
      <c r="AA39" s="20"/>
    </row>
    <row r="40" spans="1:42" ht="15.75" thickBot="1" x14ac:dyDescent="0.3">
      <c r="A40" s="25" t="s">
        <v>65</v>
      </c>
      <c r="B40" s="14"/>
      <c r="C40" s="15"/>
      <c r="D40" s="14"/>
      <c r="E40" s="164"/>
      <c r="F40" s="165">
        <f>Extra!K2</f>
        <v>4</v>
      </c>
      <c r="G40" s="166"/>
      <c r="H40" s="167"/>
      <c r="I40" s="171" t="s">
        <v>66</v>
      </c>
      <c r="J40" s="172"/>
      <c r="K40" s="172"/>
      <c r="L40" s="173"/>
      <c r="M40" s="174">
        <f>Extra!M2</f>
        <v>0</v>
      </c>
      <c r="N40" s="175"/>
      <c r="O40" s="175"/>
      <c r="P40" s="175"/>
      <c r="Q40" s="175"/>
      <c r="R40" s="176"/>
      <c r="S40" s="14"/>
      <c r="T40" s="14"/>
      <c r="U40" s="40" t="s">
        <v>67</v>
      </c>
      <c r="V40" s="14"/>
      <c r="W40" s="14"/>
      <c r="X40" s="14"/>
      <c r="Y40" s="14"/>
      <c r="Z40" s="29" t="s">
        <v>68</v>
      </c>
      <c r="AA40" s="20"/>
    </row>
    <row r="41" spans="1:42" x14ac:dyDescent="0.25">
      <c r="A41" s="25" t="s">
        <v>69</v>
      </c>
      <c r="B41" s="14"/>
      <c r="C41" s="27"/>
      <c r="D41" s="14"/>
      <c r="E41" s="29" t="s">
        <v>70</v>
      </c>
      <c r="F41" s="168"/>
      <c r="G41" s="169"/>
      <c r="H41" s="170"/>
      <c r="I41" s="171"/>
      <c r="J41" s="172"/>
      <c r="K41" s="172"/>
      <c r="L41" s="173"/>
      <c r="M41" s="177"/>
      <c r="N41" s="178"/>
      <c r="O41" s="178"/>
      <c r="P41" s="178"/>
      <c r="Q41" s="178"/>
      <c r="R41" s="179"/>
      <c r="S41" s="14"/>
      <c r="T41" s="14"/>
      <c r="U41" s="26" t="s">
        <v>71</v>
      </c>
      <c r="V41" s="14"/>
      <c r="W41" s="14"/>
      <c r="X41" s="14"/>
      <c r="Y41" s="14"/>
      <c r="Z41" s="14"/>
      <c r="AA41" s="20"/>
    </row>
    <row r="42" spans="1:42" x14ac:dyDescent="0.25">
      <c r="A42" s="21"/>
      <c r="B42" s="14"/>
      <c r="C42" s="15"/>
      <c r="D42" s="14"/>
      <c r="E42" s="14"/>
      <c r="F42" s="15"/>
      <c r="G42" s="41" t="s">
        <v>72</v>
      </c>
      <c r="H42" s="15"/>
      <c r="I42" s="15"/>
      <c r="J42" s="15"/>
      <c r="K42" s="15"/>
      <c r="L42" s="15"/>
      <c r="M42" s="15"/>
      <c r="N42" s="15"/>
      <c r="O42" s="15" t="s">
        <v>73</v>
      </c>
      <c r="P42" s="15"/>
      <c r="Q42" s="15"/>
      <c r="R42" s="14"/>
      <c r="S42" s="14"/>
      <c r="T42" s="14"/>
      <c r="U42" s="19" t="s">
        <v>74</v>
      </c>
      <c r="V42" s="14"/>
      <c r="W42" s="14"/>
      <c r="X42" s="14"/>
      <c r="Y42" s="14"/>
      <c r="Z42" s="14"/>
      <c r="AA42" s="20"/>
    </row>
    <row r="43" spans="1:42" ht="15.75" thickBot="1" x14ac:dyDescent="0.3">
      <c r="A43" s="21"/>
      <c r="B43" s="42"/>
      <c r="C43" s="42" t="s">
        <v>75</v>
      </c>
      <c r="D43" s="42"/>
      <c r="E43" s="42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4"/>
      <c r="S43" s="14"/>
      <c r="T43" s="14"/>
      <c r="U43" s="43" t="s">
        <v>76</v>
      </c>
      <c r="V43" s="14"/>
      <c r="W43" s="14"/>
      <c r="X43" s="14"/>
      <c r="Y43" s="14"/>
      <c r="Z43" s="14"/>
      <c r="AA43" s="20"/>
    </row>
    <row r="44" spans="1:42" x14ac:dyDescent="0.25">
      <c r="A44" s="44" t="s">
        <v>77</v>
      </c>
      <c r="B44" s="45"/>
      <c r="C44" s="46"/>
      <c r="D44" s="45"/>
      <c r="E44" s="4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4"/>
      <c r="S44" s="14"/>
      <c r="T44" s="14"/>
      <c r="U44" s="43" t="s">
        <v>78</v>
      </c>
      <c r="V44" s="14"/>
      <c r="W44" s="14"/>
      <c r="X44" s="14"/>
      <c r="Y44" s="14"/>
      <c r="Z44" s="14"/>
      <c r="AA44" s="20"/>
    </row>
    <row r="45" spans="1:42" ht="15.75" thickBot="1" x14ac:dyDescent="0.3">
      <c r="A45" s="48" t="s">
        <v>79</v>
      </c>
      <c r="B45" s="49"/>
      <c r="C45" s="49"/>
      <c r="D45" s="49"/>
      <c r="E45" s="50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4"/>
      <c r="S45" s="14"/>
      <c r="T45" s="14"/>
      <c r="U45" s="43" t="s">
        <v>80</v>
      </c>
      <c r="V45" s="14"/>
      <c r="W45" s="14"/>
      <c r="X45" s="14"/>
      <c r="Y45" s="14"/>
      <c r="Z45" s="14"/>
      <c r="AA45" s="20"/>
    </row>
    <row r="46" spans="1:42" x14ac:dyDescent="0.25">
      <c r="A46" s="51" t="s">
        <v>81</v>
      </c>
      <c r="B46" s="52"/>
      <c r="C46" s="52"/>
      <c r="D46" s="52"/>
      <c r="E46" s="53"/>
      <c r="F46" s="15"/>
      <c r="G46" s="15"/>
      <c r="H46" s="147">
        <f>Extra!O2</f>
        <v>4</v>
      </c>
      <c r="I46" s="148"/>
      <c r="J46" s="148"/>
      <c r="K46" s="148"/>
      <c r="L46" s="148"/>
      <c r="M46" s="149"/>
      <c r="N46" s="15"/>
      <c r="O46" s="15"/>
      <c r="P46" s="15"/>
      <c r="Q46" s="15"/>
      <c r="R46" s="14"/>
      <c r="S46" s="14"/>
      <c r="T46" s="14"/>
      <c r="U46" s="14"/>
      <c r="V46" s="14"/>
      <c r="W46" s="14"/>
      <c r="X46" s="14"/>
      <c r="Y46" s="14"/>
      <c r="Z46" s="14"/>
      <c r="AA46" s="20"/>
    </row>
    <row r="47" spans="1:42" ht="15.75" thickBot="1" x14ac:dyDescent="0.3">
      <c r="A47" s="54" t="s">
        <v>82</v>
      </c>
      <c r="B47" s="55"/>
      <c r="C47" s="56"/>
      <c r="D47" s="55"/>
      <c r="E47" s="57"/>
      <c r="F47" s="15"/>
      <c r="G47" s="15"/>
      <c r="H47" s="150"/>
      <c r="I47" s="151"/>
      <c r="J47" s="151"/>
      <c r="K47" s="151"/>
      <c r="L47" s="151"/>
      <c r="M47" s="152"/>
      <c r="N47" s="15"/>
      <c r="O47" s="15"/>
      <c r="P47" s="15"/>
      <c r="Q47" s="15"/>
      <c r="R47" s="14"/>
      <c r="S47" s="14"/>
      <c r="T47" s="14"/>
      <c r="U47" s="14"/>
      <c r="V47" s="14"/>
      <c r="W47" s="14"/>
      <c r="X47" s="14"/>
      <c r="Y47" s="14"/>
      <c r="Z47" s="14"/>
      <c r="AA47" s="20"/>
    </row>
    <row r="48" spans="1:42" x14ac:dyDescent="0.25">
      <c r="A48" s="61" t="s">
        <v>83</v>
      </c>
      <c r="B48" s="62"/>
      <c r="C48" s="62"/>
      <c r="D48" s="62"/>
      <c r="E48" s="63"/>
      <c r="F48" s="58"/>
      <c r="G48" s="58"/>
      <c r="H48" s="153" t="s">
        <v>84</v>
      </c>
      <c r="I48" s="154"/>
      <c r="J48" s="154"/>
      <c r="K48" s="154"/>
      <c r="L48" s="154"/>
      <c r="M48" s="154"/>
      <c r="N48" s="58"/>
      <c r="O48" s="58"/>
      <c r="P48" s="58"/>
      <c r="Q48" s="58"/>
      <c r="R48" s="59"/>
      <c r="S48" s="59"/>
      <c r="T48" s="59"/>
      <c r="U48" s="59"/>
      <c r="V48" s="59"/>
      <c r="W48" s="59"/>
      <c r="X48" s="59"/>
      <c r="Y48" s="59"/>
      <c r="Z48" s="59"/>
      <c r="AA48" s="60"/>
    </row>
  </sheetData>
  <protectedRanges>
    <protectedRange password="CA3F" sqref="E18 E34 Z9 E6 Z32 E25 Z17 Z24" name="Range1"/>
  </protectedRanges>
  <mergeCells count="40">
    <mergeCell ref="H46:M47"/>
    <mergeCell ref="H48:M48"/>
    <mergeCell ref="Z28:Z29"/>
    <mergeCell ref="E30:E31"/>
    <mergeCell ref="Z32:Z33"/>
    <mergeCell ref="E34:E35"/>
    <mergeCell ref="Z38:Z39"/>
    <mergeCell ref="E39:E40"/>
    <mergeCell ref="F40:H41"/>
    <mergeCell ref="I40:L41"/>
    <mergeCell ref="M40:R41"/>
    <mergeCell ref="E18:E19"/>
    <mergeCell ref="F23:F26"/>
    <mergeCell ref="G23:R23"/>
    <mergeCell ref="G24:R25"/>
    <mergeCell ref="Z24:Z25"/>
    <mergeCell ref="E25:E26"/>
    <mergeCell ref="Z17:Z18"/>
    <mergeCell ref="F14:F15"/>
    <mergeCell ref="G14:G15"/>
    <mergeCell ref="H14:J14"/>
    <mergeCell ref="K14:M14"/>
    <mergeCell ref="F16:F21"/>
    <mergeCell ref="E6:E7"/>
    <mergeCell ref="F6:F10"/>
    <mergeCell ref="Z9:Z10"/>
    <mergeCell ref="F12:F13"/>
    <mergeCell ref="G12:M12"/>
    <mergeCell ref="H13:J13"/>
    <mergeCell ref="K13:M13"/>
    <mergeCell ref="F2:F3"/>
    <mergeCell ref="G2:S2"/>
    <mergeCell ref="H3:K3"/>
    <mergeCell ref="L3:O3"/>
    <mergeCell ref="P3:S3"/>
    <mergeCell ref="F4:F5"/>
    <mergeCell ref="G4:G5"/>
    <mergeCell ref="H4:K4"/>
    <mergeCell ref="L4:O4"/>
    <mergeCell ref="P4:S4"/>
  </mergeCells>
  <conditionalFormatting sqref="H46:M47">
    <cfRule type="cellIs" dxfId="3" priority="1" operator="between">
      <formula>11</formula>
      <formula>15</formula>
    </cfRule>
    <cfRule type="cellIs" dxfId="2" priority="2" operator="between">
      <formula>8</formula>
      <formula>10</formula>
    </cfRule>
    <cfRule type="cellIs" dxfId="1" priority="3" operator="between">
      <formula>4</formula>
      <formula>7</formula>
    </cfRule>
    <cfRule type="cellIs" dxfId="0" priority="4" operator="between">
      <formula>1</formula>
      <formula>3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Angles</vt:lpstr>
      <vt:lpstr>Scores</vt:lpstr>
      <vt:lpstr>Reba</vt:lpstr>
      <vt:lpstr>Extra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Tarsi</dc:creator>
  <cp:lastModifiedBy>Alessandro Tarsi</cp:lastModifiedBy>
  <dcterms:created xsi:type="dcterms:W3CDTF">2023-11-04T10:32:17Z</dcterms:created>
  <dcterms:modified xsi:type="dcterms:W3CDTF">2025-01-26T17:41:05Z</dcterms:modified>
</cp:coreProperties>
</file>